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c157a4d8d9a1bd6a/Documents/Juputer Notebbok/"/>
    </mc:Choice>
  </mc:AlternateContent>
  <xr:revisionPtr revIDLastSave="1040" documentId="8_{030EDBE6-404A-4291-88CD-0FC0209A19E4}" xr6:coauthVersionLast="47" xr6:coauthVersionMax="47" xr10:uidLastSave="{2A6BC87C-CD23-4A6D-825A-D214113C97EB}"/>
  <bookViews>
    <workbookView xWindow="-108" yWindow="-108" windowWidth="26055" windowHeight="14024" tabRatio="599" firstSheet="1" activeTab="1" xr2:uid="{668F62A6-EAB4-48FE-8229-C1EBA71B6EF9}"/>
  </bookViews>
  <sheets>
    <sheet name="Table" sheetId="2" r:id="rId1"/>
    <sheet name="Calculations " sheetId="3" r:id="rId2"/>
    <sheet name="DASHBOARD" sheetId="4" r:id="rId3"/>
  </sheets>
  <definedNames>
    <definedName name="_xlchart.v5.0" hidden="1">'Calculations '!$E$43</definedName>
    <definedName name="_xlchart.v5.1" hidden="1">'Calculations '!$E$44:$E$91</definedName>
    <definedName name="_xlchart.v5.2" hidden="1">'Calculations '!$F$43</definedName>
    <definedName name="_xlchart.v5.3" hidden="1">'Calculations '!$F$44:$F$91</definedName>
    <definedName name="CatSales">'Calculations '!$J$61</definedName>
    <definedName name="Cities">'Calculations '!$J$19</definedName>
    <definedName name="ExternalData_1" localSheetId="0" hidden="1">Table!$A$1:$T$2122</definedName>
    <definedName name="Order.D">'Calculations '!$J$49</definedName>
    <definedName name="Profit">'Calculations '!$J$9</definedName>
    <definedName name="ProfitYOY">'Calculations '!$N$9</definedName>
    <definedName name="Quantity">'Calculations '!$J$10</definedName>
    <definedName name="QuantityYOY">'Calculations '!$N$10</definedName>
    <definedName name="Sales">'Calculations '!$J$8</definedName>
    <definedName name="SalesT">'Calculations '!$B$21</definedName>
    <definedName name="SalesYOY">'Calculations '!$N$8</definedName>
    <definedName name="Ship.D">'Calculations '!$J$33</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3" l="1"/>
  <c r="B21" i="3"/>
  <c r="J19" i="3" l="1"/>
  <c r="E44" i="3" a="1"/>
  <c r="E44" i="3" s="1"/>
  <c r="N63" i="3"/>
  <c r="N64" i="3" s="1"/>
  <c r="J61" i="3"/>
  <c r="J33" i="3"/>
  <c r="M22" i="3"/>
  <c r="M23" i="3"/>
  <c r="M24" i="3"/>
  <c r="M25" i="3"/>
  <c r="M26" i="3"/>
  <c r="L23" i="3"/>
  <c r="L24" i="3"/>
  <c r="L25" i="3"/>
  <c r="L26" i="3"/>
  <c r="L22" i="3"/>
  <c r="L10" i="3"/>
  <c r="L8" i="3"/>
  <c r="K8" i="3"/>
  <c r="J9" i="3"/>
  <c r="K10" i="3"/>
  <c r="J8" i="3"/>
  <c r="L9" i="3"/>
  <c r="K9" i="3"/>
  <c r="J10" i="3"/>
  <c r="M8" i="3" l="1"/>
  <c r="N8" i="3" s="1"/>
  <c r="N21" i="3"/>
  <c r="N65" i="3"/>
  <c r="N66" i="3"/>
  <c r="N67" i="3"/>
  <c r="M9" i="3"/>
  <c r="N9" i="3" s="1"/>
  <c r="M10" i="3"/>
  <c r="N10" i="3" s="1"/>
  <c r="N26" i="3" l="1"/>
  <c r="N22" i="3"/>
  <c r="N24" i="3"/>
  <c r="N25" i="3"/>
  <c r="N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40E95B-0F9A-4921-9DDA-6B04696C6935}"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<sst xmlns="http://schemas.openxmlformats.org/spreadsheetml/2006/main" count="31967" uniqueCount="4434">
  <si>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</si>
  <si>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</si>
  <si>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</si>
  <si>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</si>
  <si>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</si>
  <si>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</si>
  <si>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</si>
  <si>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</si>
  <si>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</si>
  <si>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</si>
  <si>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</si>
  <si>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</si>
  <si>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</si>
  <si>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</si>
  <si>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</si>
  <si>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</si>
  <si>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</si>
  <si>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</si>
  <si>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</si>
  <si>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</si>
  <si>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</si>
  <si>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</si>
  <si>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</si>
  <si>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</si>
  <si>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</si>
  <si>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</si>
  <si>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</si>
  <si>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</si>
  <si>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</si>
  <si>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</si>
  <si>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</si>
  <si>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</si>
  <si>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</si>
  <si>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</si>
  <si>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</si>
  <si>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</si>
  <si>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</si>
  <si>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</si>
  <si>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</si>
  <si>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</si>
  <si>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</si>
  <si>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</si>
  <si>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</si>
  <si>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</si>
  <si>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</si>
  <si>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</si>
  <si>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</si>
  <si>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7-days</t>
  </si>
  <si>
    <t>Oct</t>
  </si>
  <si>
    <t>CA-2014-115812</t>
  </si>
  <si>
    <t>BH-11710</t>
  </si>
  <si>
    <t>Brosina Hoffman</t>
  </si>
  <si>
    <t>Los Angeles</t>
  </si>
  <si>
    <t>California</t>
  </si>
  <si>
    <t>West</t>
  </si>
  <si>
    <t>FUR-FU-10001487</t>
  </si>
  <si>
    <t>Furnishings</t>
  </si>
  <si>
    <t>Eldon Expressions Wood and Plastic Desk Accessories, Cherry Wood</t>
  </si>
  <si>
    <t>5-days</t>
  </si>
  <si>
    <t>Jun</t>
  </si>
  <si>
    <t>FUR-TA-10001539</t>
  </si>
  <si>
    <t>Chromcraft Rectangular Conference Tables</t>
  </si>
  <si>
    <t>US-2017-156909</t>
  </si>
  <si>
    <t>SF-20065</t>
  </si>
  <si>
    <t>Sandra Flanagan</t>
  </si>
  <si>
    <t>Philadelphia</t>
  </si>
  <si>
    <t>Pennsylvania</t>
  </si>
  <si>
    <t>East</t>
  </si>
  <si>
    <t>FUR-CH-10002774</t>
  </si>
  <si>
    <t>Global Deluxe Stacking Chair, Gray</t>
  </si>
  <si>
    <t>2-days</t>
  </si>
  <si>
    <t>Jul</t>
  </si>
  <si>
    <t>CA-2015-106320</t>
  </si>
  <si>
    <t>EB-13870</t>
  </si>
  <si>
    <t>Emily Burns</t>
  </si>
  <si>
    <t>Orem</t>
  </si>
  <si>
    <t>Utah</t>
  </si>
  <si>
    <t>Sep</t>
  </si>
  <si>
    <t>US-2015-150630</t>
  </si>
  <si>
    <t>TB-21520</t>
  </si>
  <si>
    <t>Tracy Blumstein</t>
  </si>
  <si>
    <t>FUR-BO-10004834</t>
  </si>
  <si>
    <t>Riverside Palais Royal Lawyers Bookcase, Royale Cherry Finish</t>
  </si>
  <si>
    <t>4-days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</si>
  <si>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</si>
  <si>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</si>
  <si>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</si>
  <si>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</si>
  <si>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</si>
  <si>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</si>
  <si>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</si>
  <si>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</si>
  <si>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</si>
  <si>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</si>
  <si>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</si>
  <si>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</si>
  <si>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</si>
  <si>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</si>
  <si>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</si>
  <si>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</si>
  <si>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</si>
  <si>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</si>
  <si>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</si>
  <si>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</si>
  <si>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</si>
  <si>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</si>
  <si>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</si>
  <si>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</si>
  <si>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</si>
  <si>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</si>
  <si>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</si>
  <si>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</si>
  <si>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</si>
  <si>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</si>
  <si>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</si>
  <si>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</si>
  <si>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</si>
  <si>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</si>
  <si>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</si>
  <si>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</si>
  <si>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</si>
  <si>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</si>
  <si>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</si>
  <si>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1-days</t>
  </si>
  <si>
    <t>CA-2015-135545</t>
  </si>
  <si>
    <t>KM-16720</t>
  </si>
  <si>
    <t>Kunst Miller</t>
  </si>
  <si>
    <t>FUR-FU-10000397</t>
  </si>
  <si>
    <t>Luxo Economy Swing Arm Lamp</t>
  </si>
  <si>
    <t>6-days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</si>
  <si>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</si>
  <si>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</si>
  <si>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</si>
  <si>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</si>
  <si>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</si>
  <si>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</si>
  <si>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</si>
  <si>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</si>
  <si>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</si>
  <si>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</si>
  <si>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</si>
  <si>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</si>
  <si>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</si>
  <si>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</si>
  <si>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</si>
  <si>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</si>
  <si>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</si>
  <si>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</si>
  <si>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</si>
  <si>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</si>
  <si>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</si>
  <si>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</si>
  <si>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</si>
  <si>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</si>
  <si>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</si>
  <si>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</si>
  <si>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</si>
  <si>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</si>
  <si>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</si>
  <si>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</si>
  <si>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</si>
  <si>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</si>
  <si>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</si>
  <si>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</si>
  <si>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</si>
  <si>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</si>
  <si>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</si>
  <si>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</si>
  <si>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</si>
  <si>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</si>
  <si>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</si>
  <si>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</si>
  <si>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</si>
  <si>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</si>
  <si>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</si>
  <si>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</si>
  <si>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</si>
  <si>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</si>
  <si>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</si>
  <si>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</si>
  <si>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</si>
  <si>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</si>
  <si>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</si>
  <si>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</si>
  <si>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</si>
  <si>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</si>
  <si>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</si>
  <si>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</si>
  <si>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</si>
  <si>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</si>
  <si>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</si>
  <si>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</si>
  <si>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</si>
  <si>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</si>
  <si>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</si>
  <si>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</si>
  <si>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</si>
  <si>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</si>
  <si>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</si>
  <si>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</si>
  <si>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</si>
  <si>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</si>
  <si>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</si>
  <si>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</si>
  <si>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</si>
  <si>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</si>
  <si>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</si>
  <si>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</si>
  <si>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</si>
  <si>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</si>
  <si>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</si>
  <si>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</si>
  <si>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</si>
  <si>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</si>
  <si>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</si>
  <si>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</si>
  <si>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</si>
  <si>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</si>
  <si>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</si>
  <si>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</si>
  <si>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</si>
  <si>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</si>
  <si>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</si>
  <si>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</si>
  <si>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</si>
  <si>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</si>
  <si>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</si>
  <si>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</si>
  <si>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</si>
  <si>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</si>
  <si>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</si>
  <si>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</si>
  <si>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</si>
  <si>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</si>
  <si>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</si>
  <si>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</si>
  <si>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</si>
  <si>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</si>
  <si>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</si>
  <si>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</si>
  <si>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</si>
  <si>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</si>
  <si>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</si>
  <si>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</si>
  <si>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</si>
  <si>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</si>
  <si>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</si>
  <si>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</si>
  <si>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</si>
  <si>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</si>
  <si>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</si>
  <si>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</si>
  <si>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</si>
  <si>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</si>
  <si>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</si>
  <si>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</si>
  <si>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</si>
  <si>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</si>
  <si>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</si>
  <si>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</si>
  <si>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</si>
  <si>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</si>
  <si>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</si>
  <si>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</si>
  <si>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</si>
  <si>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</si>
  <si>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</si>
  <si>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</si>
  <si>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</si>
  <si>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</si>
  <si>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</si>
  <si>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</si>
  <si>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</si>
  <si>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</si>
  <si>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</si>
  <si>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</si>
  <si>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</si>
  <si>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</si>
  <si>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</si>
  <si>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</si>
  <si>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</si>
  <si>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</si>
  <si>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</si>
  <si>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</si>
  <si>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</si>
  <si>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</si>
  <si>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</si>
  <si>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</si>
  <si>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</si>
  <si>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</si>
  <si>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</si>
  <si>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</si>
  <si>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</si>
  <si>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</si>
  <si>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</si>
  <si>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</si>
  <si>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</si>
  <si>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</si>
  <si>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</si>
  <si>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</si>
  <si>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</si>
  <si>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</si>
  <si>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</si>
  <si>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</si>
  <si>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</si>
  <si>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</si>
  <si>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</si>
  <si>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</si>
  <si>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</si>
  <si>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</si>
  <si>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</si>
  <si>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</si>
  <si>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</si>
  <si>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</si>
  <si>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</si>
  <si>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</si>
  <si>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</si>
  <si>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</si>
  <si>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</si>
  <si>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</si>
  <si>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</si>
  <si>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</si>
  <si>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</si>
  <si>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</si>
  <si>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</si>
  <si>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</si>
  <si>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</si>
  <si>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</si>
  <si>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</si>
  <si>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</si>
  <si>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</si>
  <si>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</si>
  <si>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</si>
  <si>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</si>
  <si>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</si>
  <si>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</si>
  <si>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</si>
  <si>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</si>
  <si>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</si>
  <si>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</si>
  <si>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</si>
  <si>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</si>
  <si>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</si>
  <si>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</si>
  <si>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</si>
  <si>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</si>
  <si>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</si>
  <si>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</si>
  <si>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</si>
  <si>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</si>
  <si>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</si>
  <si>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</si>
  <si>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</si>
  <si>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</si>
  <si>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</si>
  <si>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</si>
  <si>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</si>
  <si>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</si>
  <si>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</si>
  <si>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</si>
  <si>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</si>
  <si>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</si>
  <si>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</si>
  <si>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</si>
  <si>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</si>
  <si>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</si>
  <si>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</si>
  <si>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</si>
  <si>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</si>
  <si>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</si>
  <si>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</si>
  <si>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</si>
  <si>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</si>
  <si>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</si>
  <si>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</si>
  <si>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</si>
  <si>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</si>
  <si>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</si>
  <si>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</si>
  <si>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</si>
  <si>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</si>
  <si>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</si>
  <si>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</si>
  <si>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</si>
  <si>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</si>
  <si>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</si>
  <si>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</si>
  <si>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</si>
  <si>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</si>
  <si>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</si>
  <si>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</si>
  <si>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</si>
  <si>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</si>
  <si>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</si>
  <si>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</si>
  <si>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</si>
  <si>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</si>
  <si>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</si>
  <si>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</si>
  <si>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</si>
  <si>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</si>
  <si>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</si>
  <si>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</si>
  <si>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</si>
  <si>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</si>
  <si>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</si>
  <si>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</si>
  <si>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</si>
  <si>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</si>
  <si>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</si>
  <si>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</si>
  <si>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</si>
  <si>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</si>
  <si>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</si>
  <si>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</si>
  <si>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</si>
  <si>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</si>
  <si>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</si>
  <si>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</si>
  <si>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</si>
  <si>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</si>
  <si>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</si>
  <si>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</si>
  <si>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</si>
  <si>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</si>
  <si>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</si>
  <si>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</si>
  <si>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</si>
  <si>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</si>
  <si>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</si>
  <si>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</si>
  <si>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</si>
  <si>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</si>
  <si>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</si>
  <si>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</si>
  <si>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</si>
  <si>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</si>
  <si>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</si>
  <si>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</si>
  <si>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</si>
  <si>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</si>
  <si>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</si>
  <si>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</si>
  <si>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</si>
  <si>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</si>
  <si>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</si>
  <si>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</si>
  <si>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</si>
  <si>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</si>
  <si>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</si>
  <si>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</si>
  <si>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</si>
  <si>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</si>
  <si>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</si>
  <si>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</si>
  <si>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</si>
  <si>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</si>
  <si>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</si>
  <si>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</si>
  <si>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</si>
  <si>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</si>
  <si>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</si>
  <si>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</si>
  <si>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</si>
  <si>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</si>
  <si>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</si>
  <si>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</si>
  <si>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</si>
  <si>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</si>
  <si>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</si>
  <si>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</si>
  <si>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</si>
  <si>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</si>
  <si>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</si>
  <si>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</si>
  <si>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</si>
  <si>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</si>
  <si>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</si>
  <si>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</si>
  <si>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</si>
  <si>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</si>
  <si>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</si>
  <si>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</si>
  <si>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</si>
  <si>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</si>
  <si>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</si>
  <si>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</si>
  <si>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</si>
  <si>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</si>
  <si>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</si>
  <si>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</si>
  <si>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</si>
  <si>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</si>
  <si>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</si>
  <si>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</si>
  <si>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</si>
  <si>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</si>
  <si>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</si>
  <si>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</si>
  <si>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</si>
  <si>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</si>
  <si>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</si>
  <si>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</si>
  <si>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</si>
  <si>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</si>
  <si>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</si>
  <si>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</si>
  <si>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</si>
  <si>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</si>
  <si>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</si>
  <si>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</si>
  <si>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</si>
  <si>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</si>
  <si>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</si>
  <si>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</si>
  <si>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</si>
  <si>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</si>
  <si>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</si>
  <si>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</si>
  <si>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</si>
  <si>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</si>
  <si>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</si>
  <si>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</si>
  <si>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</si>
  <si>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</si>
  <si>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</si>
  <si>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</si>
  <si>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</si>
  <si>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</si>
  <si>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</si>
  <si>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</si>
  <si>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</si>
  <si>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</si>
  <si>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</si>
  <si>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</si>
  <si>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</si>
  <si>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</si>
  <si>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</si>
  <si>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</si>
  <si>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</si>
  <si>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</si>
  <si>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</si>
  <si>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</si>
  <si>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</si>
  <si>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</si>
  <si>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</si>
  <si>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</si>
  <si>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</si>
  <si>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</si>
  <si>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</si>
  <si>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</si>
  <si>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</si>
  <si>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</si>
  <si>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</si>
  <si>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</si>
  <si>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</si>
  <si>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</si>
  <si>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</si>
  <si>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</si>
  <si>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</si>
  <si>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</si>
  <si>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</si>
  <si>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</si>
  <si>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</si>
  <si>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</si>
  <si>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</si>
  <si>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</si>
  <si>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</si>
  <si>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</si>
  <si>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</si>
  <si>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</si>
  <si>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</si>
  <si>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</si>
  <si>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</si>
  <si>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</si>
  <si>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</si>
  <si>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</si>
  <si>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</si>
  <si>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</si>
  <si>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</si>
  <si>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</si>
  <si>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</si>
  <si>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</si>
  <si>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</si>
  <si>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</si>
  <si>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</si>
  <si>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</si>
  <si>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</si>
  <si>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</si>
  <si>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</si>
  <si>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</si>
  <si>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</si>
  <si>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</si>
  <si>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</si>
  <si>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</si>
  <si>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</si>
  <si>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</si>
  <si>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</si>
  <si>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</si>
  <si>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</si>
  <si>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</si>
  <si>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</si>
  <si>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</si>
  <si>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</si>
  <si>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</si>
  <si>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</si>
  <si>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</si>
  <si>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</si>
  <si>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</si>
  <si>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</si>
  <si>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</si>
  <si>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</si>
  <si>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</si>
  <si>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</si>
  <si>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</si>
  <si>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</si>
  <si>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</si>
  <si>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</si>
  <si>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</si>
  <si>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</si>
  <si>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</si>
  <si>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</si>
  <si>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</si>
  <si>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</si>
  <si>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</si>
  <si>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</si>
  <si>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</si>
  <si>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</si>
  <si>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</si>
  <si>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</si>
  <si>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</si>
  <si>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</si>
  <si>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</si>
  <si>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</si>
  <si>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</si>
  <si>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</si>
  <si>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</si>
  <si>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</si>
  <si>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</si>
  <si>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</si>
  <si>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</si>
  <si>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</si>
  <si>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</si>
  <si>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</si>
  <si>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</si>
  <si>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</si>
  <si>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</si>
  <si>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</si>
  <si>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</si>
  <si>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</si>
  <si>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</si>
  <si>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</si>
  <si>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</si>
  <si>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</si>
  <si>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</si>
  <si>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</si>
  <si>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</si>
  <si>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</si>
  <si>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</si>
  <si>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</si>
  <si>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</si>
  <si>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</si>
  <si>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</si>
  <si>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</si>
  <si>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</si>
  <si>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</si>
  <si>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</si>
  <si>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</si>
  <si>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</si>
  <si>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</si>
  <si>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</si>
  <si>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</si>
  <si>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</si>
  <si>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</si>
  <si>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</si>
  <si>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</si>
  <si>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</si>
  <si>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</si>
  <si>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</si>
  <si>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</si>
  <si>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</si>
  <si>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</si>
  <si>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</si>
  <si>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</si>
  <si>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</si>
  <si>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</si>
  <si>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</si>
  <si>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</si>
  <si>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</si>
  <si>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</si>
  <si>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</si>
  <si>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</si>
  <si>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</si>
  <si>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</si>
  <si>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</si>
  <si>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</si>
  <si>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</si>
  <si>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</si>
  <si>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</si>
  <si>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</si>
  <si>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</si>
  <si>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</si>
  <si>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</si>
  <si>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</si>
  <si>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</si>
  <si>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</si>
  <si>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</si>
  <si>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</si>
  <si>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</si>
  <si>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</si>
  <si>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</si>
  <si>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</si>
  <si>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</si>
  <si>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</si>
  <si>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</si>
  <si>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</si>
  <si>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</si>
  <si>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</si>
  <si>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</si>
  <si>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</si>
  <si>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</si>
  <si>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</si>
  <si>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</si>
  <si>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</si>
  <si>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</si>
  <si>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</si>
  <si>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</si>
  <si>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</si>
  <si>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</si>
  <si>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</si>
  <si>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</si>
  <si>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</si>
  <si>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</si>
  <si>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</si>
  <si>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</si>
  <si>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</si>
  <si>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</si>
  <si>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</si>
  <si>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</si>
  <si>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</si>
  <si>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</si>
  <si>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</si>
  <si>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</si>
  <si>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</si>
  <si>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</si>
  <si>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</si>
  <si>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</si>
  <si>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</si>
  <si>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</si>
  <si>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</si>
  <si>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</si>
  <si>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</si>
  <si>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</si>
  <si>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</si>
  <si>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</si>
  <si>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</si>
  <si>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</si>
  <si>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</si>
  <si>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</si>
  <si>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</si>
  <si>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</si>
  <si>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</si>
  <si>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</si>
  <si>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</si>
  <si>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</si>
  <si>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</si>
  <si>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</si>
  <si>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</si>
  <si>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</si>
  <si>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</si>
  <si>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</si>
  <si>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</si>
  <si>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</si>
  <si>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</si>
  <si>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</si>
  <si>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</si>
  <si>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</si>
  <si>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</si>
  <si>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</si>
  <si>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</si>
  <si>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</si>
  <si>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</si>
  <si>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</si>
  <si>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</si>
  <si>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</si>
  <si>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</si>
  <si>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</si>
  <si>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</si>
  <si>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</si>
  <si>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</si>
  <si>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</si>
  <si>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</si>
  <si>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</si>
  <si>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</si>
  <si>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</si>
  <si>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</si>
  <si>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</si>
  <si>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</si>
  <si>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</si>
  <si>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</si>
  <si>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</si>
  <si>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</si>
  <si>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</si>
  <si>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</si>
  <si>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</si>
  <si>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</si>
  <si>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</si>
  <si>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</si>
  <si>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</si>
  <si>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</si>
  <si>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</si>
  <si>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</si>
  <si>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</si>
  <si>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</si>
  <si>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</si>
  <si>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</si>
  <si>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</si>
  <si>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</si>
  <si>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</si>
  <si>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</si>
  <si>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</si>
  <si>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</si>
  <si>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</si>
  <si>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</si>
  <si>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</si>
  <si>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</si>
  <si>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</si>
  <si>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</si>
  <si>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</si>
  <si>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</si>
  <si>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</si>
  <si>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</si>
  <si>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</si>
  <si>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</si>
  <si>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</si>
  <si>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</si>
  <si>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</si>
  <si>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</si>
  <si>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</si>
  <si>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</si>
  <si>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</si>
  <si>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</si>
  <si>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</si>
  <si>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</si>
  <si>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</si>
  <si>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</si>
  <si>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</si>
  <si>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</si>
  <si>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</si>
  <si>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</si>
  <si>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</si>
  <si>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</si>
  <si>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</si>
  <si>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</si>
  <si>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</si>
  <si>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</si>
  <si>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</si>
  <si>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</si>
  <si>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</si>
  <si>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</si>
  <si>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</si>
  <si>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</si>
  <si>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</si>
  <si>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</si>
  <si>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</si>
  <si>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</si>
  <si>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</si>
  <si>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</si>
  <si>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</si>
  <si>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</si>
  <si>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</si>
  <si>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</si>
  <si>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</si>
  <si>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</si>
  <si>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</si>
  <si>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</si>
  <si>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</si>
  <si>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</si>
  <si>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</si>
  <si>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</si>
  <si>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</si>
  <si>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</si>
  <si>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</si>
  <si>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</si>
  <si>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</si>
  <si>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</si>
  <si>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</si>
  <si>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</si>
  <si>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</si>
  <si>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</si>
  <si>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</si>
  <si>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</si>
  <si>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</si>
  <si>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</si>
  <si>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</si>
  <si>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</si>
  <si>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</si>
  <si>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</si>
  <si>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</si>
  <si>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</si>
  <si>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</si>
  <si>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</si>
  <si>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</si>
  <si>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</si>
  <si>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</si>
  <si>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</si>
  <si>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</si>
  <si>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</si>
  <si>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</si>
  <si>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</si>
  <si>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</si>
  <si>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</si>
  <si>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</si>
  <si>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</si>
  <si>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</si>
  <si>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</si>
  <si>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</si>
  <si>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</si>
  <si>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</si>
  <si>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</si>
  <si>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</si>
  <si>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</si>
  <si>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</si>
  <si>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</si>
  <si>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</si>
  <si>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</si>
  <si>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</si>
  <si>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</si>
  <si>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</si>
  <si>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</si>
  <si>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</si>
  <si>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</si>
  <si>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</si>
  <si>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</si>
  <si>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</si>
  <si>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</si>
  <si>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</si>
  <si>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</si>
  <si>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</si>
  <si>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</si>
  <si>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</si>
  <si>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</si>
  <si>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</si>
  <si>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</si>
  <si>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</si>
  <si>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</si>
  <si>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</si>
  <si>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</si>
  <si>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</si>
  <si>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</si>
  <si>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</si>
  <si>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</si>
  <si>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</si>
  <si>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</si>
  <si>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</si>
  <si>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</si>
  <si>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</si>
  <si>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</si>
  <si>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</si>
  <si>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</si>
  <si>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</si>
  <si>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</si>
  <si>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</si>
  <si>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</si>
  <si>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</si>
  <si>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</si>
  <si>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</si>
  <si>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</si>
  <si>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</si>
  <si>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</si>
  <si>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</si>
  <si>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</si>
  <si>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</si>
  <si>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</si>
  <si>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</si>
  <si>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</si>
  <si>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</si>
  <si>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</si>
  <si>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</si>
  <si>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</si>
  <si>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</si>
  <si>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</si>
  <si>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</si>
  <si>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</si>
  <si>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</si>
  <si>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</si>
  <si>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</si>
  <si>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</si>
  <si>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</si>
  <si>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</si>
  <si>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</si>
  <si>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</si>
  <si>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</si>
  <si>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</si>
  <si>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</si>
  <si>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</si>
  <si>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</si>
  <si>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</si>
  <si>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</si>
  <si>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</si>
  <si>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</si>
  <si>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</si>
  <si>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</si>
  <si>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</si>
  <si>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</si>
  <si>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</si>
  <si>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</si>
  <si>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</si>
  <si>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</si>
  <si>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</si>
  <si>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</si>
  <si>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</si>
  <si>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</si>
  <si>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</si>
  <si>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</si>
  <si>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</si>
  <si>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</si>
  <si>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</si>
  <si>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</si>
  <si>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</si>
  <si>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</si>
  <si>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</si>
  <si>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</si>
  <si>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</si>
  <si>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</si>
  <si>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</si>
  <si>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</si>
  <si>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</si>
  <si>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</si>
  <si>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</si>
  <si>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</si>
  <si>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</si>
  <si>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</si>
  <si>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</si>
  <si>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</si>
  <si>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</si>
  <si>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</si>
  <si>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</si>
  <si>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</si>
  <si>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</si>
  <si>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</si>
  <si>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</si>
  <si>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</si>
  <si>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</si>
  <si>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</si>
  <si>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</si>
  <si>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</si>
  <si>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</si>
  <si>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</si>
  <si>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</si>
  <si>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</si>
  <si>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</si>
  <si>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</si>
  <si>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</si>
  <si>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</si>
  <si>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</si>
  <si>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</si>
  <si>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</si>
  <si>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</si>
  <si>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</si>
  <si>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</si>
  <si>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</si>
  <si>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</si>
  <si>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</si>
  <si>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</si>
  <si>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</si>
  <si>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</si>
  <si>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</si>
  <si>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</si>
  <si>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</si>
  <si>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</si>
  <si>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</si>
  <si>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</si>
  <si>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</si>
  <si>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</si>
  <si>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</si>
  <si>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</si>
  <si>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</si>
  <si>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</si>
  <si>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</si>
  <si>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</si>
  <si>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</si>
  <si>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</si>
  <si>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</si>
  <si>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</si>
  <si>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</si>
  <si>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</si>
  <si>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</si>
  <si>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</si>
  <si>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</si>
  <si>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</si>
  <si>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</si>
  <si>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</si>
  <si>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</si>
  <si>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</si>
  <si>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</si>
  <si>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</si>
  <si>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</si>
  <si>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</si>
  <si>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</si>
  <si>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</si>
  <si>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</si>
  <si>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</si>
  <si>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</si>
  <si>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</si>
  <si>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</si>
  <si>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</si>
  <si>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</si>
  <si>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</si>
  <si>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</si>
  <si>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</si>
  <si>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</si>
  <si>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</si>
  <si>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</si>
  <si>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</si>
  <si>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</si>
  <si>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</si>
  <si>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</si>
  <si>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</si>
  <si>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</si>
  <si>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</si>
  <si>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</si>
  <si>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</si>
  <si>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</si>
  <si>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</si>
  <si>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</si>
  <si>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</si>
  <si>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</si>
  <si>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</si>
  <si>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</si>
  <si>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</si>
  <si>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</si>
  <si>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</si>
  <si>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</si>
  <si>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</si>
  <si>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</si>
  <si>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</si>
  <si>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</si>
  <si>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</si>
  <si>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</si>
  <si>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</si>
  <si>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</si>
  <si>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</si>
  <si>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</si>
  <si>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</si>
  <si>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</si>
  <si>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</si>
  <si>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</si>
  <si>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</si>
  <si>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</si>
  <si>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</si>
  <si>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</si>
  <si>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</si>
  <si>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</si>
  <si>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</si>
  <si>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</si>
  <si>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</si>
  <si>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</si>
  <si>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</si>
  <si>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</si>
  <si>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</si>
  <si>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</si>
  <si>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</si>
  <si>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</si>
  <si>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</si>
  <si>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</si>
  <si>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</si>
  <si>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</si>
  <si>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</si>
  <si>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</si>
  <si>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</si>
  <si>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</si>
  <si>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</si>
  <si>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</si>
  <si>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</si>
  <si>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</si>
  <si>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</si>
  <si>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</si>
  <si>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</si>
  <si>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</si>
  <si>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</si>
  <si>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</si>
  <si>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</si>
  <si>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</si>
  <si>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</si>
  <si>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</si>
  <si>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</si>
  <si>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</si>
  <si>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</si>
  <si>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</si>
  <si>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</si>
  <si>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</si>
  <si>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</si>
  <si>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</si>
  <si>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</si>
  <si>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</si>
  <si>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</si>
  <si>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</si>
  <si>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</si>
  <si>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</si>
  <si>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</si>
  <si>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</si>
  <si>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</si>
  <si>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</si>
  <si>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</si>
  <si>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</si>
  <si>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</si>
  <si>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</si>
  <si>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</si>
  <si>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</si>
  <si>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</si>
  <si>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</si>
  <si>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</si>
  <si>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</si>
  <si>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</si>
  <si>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</si>
  <si>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</si>
  <si>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</si>
  <si>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</si>
  <si>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</si>
  <si>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</si>
  <si>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</si>
  <si>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</si>
  <si>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</si>
  <si>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</si>
  <si>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</si>
  <si>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</si>
  <si>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</si>
  <si>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</si>
  <si>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</si>
  <si>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</si>
  <si>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</si>
  <si>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</si>
  <si>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</si>
  <si>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</si>
  <si>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</si>
  <si>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</si>
  <si>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</si>
  <si>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</si>
  <si>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</si>
  <si>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</si>
  <si>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</si>
  <si>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</si>
  <si>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</si>
  <si>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</si>
  <si>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</si>
  <si>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</si>
  <si>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</si>
  <si>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</si>
  <si>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</si>
  <si>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</si>
  <si>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</si>
  <si>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</si>
  <si>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</si>
  <si>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</si>
  <si>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</si>
  <si>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</si>
  <si>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</si>
  <si>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</si>
  <si>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</si>
  <si>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</si>
  <si>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</si>
  <si>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</si>
  <si>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</si>
  <si>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</si>
  <si>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</si>
  <si>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</si>
  <si>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</si>
  <si>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</si>
  <si>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</si>
  <si>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</si>
  <si>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</si>
  <si>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</si>
  <si>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</si>
  <si>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</si>
  <si>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</si>
  <si>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</si>
  <si>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</si>
  <si>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</si>
  <si>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</si>
  <si>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</si>
  <si>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</si>
  <si>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</si>
  <si>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</si>
  <si>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</si>
  <si>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</si>
  <si>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</si>
  <si>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</si>
  <si>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</si>
  <si>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</si>
  <si>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</si>
  <si>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</si>
  <si>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</si>
  <si>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</si>
  <si>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</si>
  <si>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</si>
  <si>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</si>
  <si>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</si>
  <si>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</si>
  <si>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</si>
  <si>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</si>
  <si>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</si>
  <si>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</si>
  <si>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</si>
  <si>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</si>
  <si>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</si>
  <si>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</si>
  <si>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</si>
  <si>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</si>
  <si>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</si>
  <si>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</si>
  <si>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</si>
  <si>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</si>
  <si>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</si>
  <si>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</si>
  <si>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</si>
  <si>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</si>
  <si>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</si>
  <si>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</si>
  <si>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</si>
  <si>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</si>
  <si>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</si>
  <si>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</si>
  <si>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</si>
  <si>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</si>
  <si>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</si>
  <si>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</si>
  <si>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</si>
  <si>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</si>
  <si>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</si>
  <si>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</si>
  <si>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</si>
  <si>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</si>
  <si>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</si>
  <si>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</si>
  <si>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</si>
  <si>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</si>
  <si>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</si>
  <si>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</si>
  <si>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</si>
  <si>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</si>
  <si>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</si>
  <si>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</si>
  <si>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</si>
  <si>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</si>
  <si>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</si>
  <si>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</si>
  <si>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</si>
  <si>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</si>
  <si>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</si>
  <si>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</si>
  <si>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</si>
  <si>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</si>
  <si>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</si>
  <si>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</si>
  <si>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</si>
  <si>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</si>
  <si>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</si>
  <si>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</si>
  <si>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</si>
  <si>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</si>
  <si>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</si>
  <si>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</si>
  <si>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</si>
  <si>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</si>
  <si>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</si>
  <si>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</si>
  <si>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</si>
  <si>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</si>
  <si>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</si>
  <si>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</si>
  <si>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</si>
  <si>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</si>
  <si>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</si>
  <si>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</si>
  <si>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</si>
  <si>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</si>
  <si>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</si>
  <si>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</si>
  <si>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</si>
  <si>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</si>
  <si>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</si>
  <si>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</si>
  <si>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</si>
  <si>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</si>
  <si>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</si>
  <si>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</si>
  <si>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</si>
  <si>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</si>
  <si>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</si>
  <si>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</si>
  <si>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</si>
  <si>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</si>
  <si>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</si>
  <si>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</si>
  <si>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</si>
  <si>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</si>
  <si>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</si>
  <si>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</si>
  <si>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</si>
  <si>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</si>
  <si>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</si>
  <si>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</si>
  <si>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</si>
  <si>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</si>
  <si>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</si>
  <si>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</si>
  <si>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</si>
  <si>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</si>
  <si>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</si>
  <si>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</si>
  <si>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</si>
  <si>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</si>
  <si>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</si>
  <si>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</si>
  <si>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</si>
  <si>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</si>
  <si>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</si>
  <si>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</si>
  <si>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</si>
  <si>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</si>
  <si>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</si>
  <si>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</si>
  <si>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</si>
  <si>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</si>
  <si>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</si>
  <si>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</si>
  <si>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</si>
  <si>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</si>
  <si>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</si>
  <si>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</si>
  <si>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</si>
  <si>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</si>
  <si>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</si>
  <si>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</si>
  <si>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</si>
  <si>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</si>
  <si>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</si>
  <si>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</si>
  <si>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</si>
  <si>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</si>
  <si>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</si>
  <si>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</si>
  <si>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</si>
  <si>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</si>
  <si>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</si>
  <si>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</si>
  <si>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</si>
  <si>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</si>
  <si>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</si>
  <si>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</si>
  <si>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</si>
  <si>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</si>
  <si>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</si>
  <si>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</si>
  <si>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</si>
  <si>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</si>
  <si>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</si>
  <si>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</si>
  <si>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</si>
  <si>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</si>
  <si>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</si>
  <si>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</si>
  <si>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</si>
  <si>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</si>
  <si>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</si>
  <si>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</si>
  <si>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</si>
  <si>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</si>
  <si>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</si>
  <si>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</si>
  <si>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</si>
  <si>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</si>
  <si>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</si>
  <si>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</si>
  <si>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</si>
  <si>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</si>
  <si>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</si>
  <si>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</si>
  <si>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</si>
  <si>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</si>
  <si>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</si>
  <si>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</si>
  <si>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</si>
  <si>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</si>
  <si>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</si>
  <si>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</si>
  <si>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</si>
  <si>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</si>
  <si>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</si>
  <si>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</si>
  <si>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</si>
  <si>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</si>
  <si>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</si>
  <si>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</si>
  <si>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</si>
  <si>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</si>
  <si>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</si>
  <si>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</si>
  <si>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</si>
  <si>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</si>
  <si>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</si>
  <si>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</si>
  <si>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</si>
  <si>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</si>
  <si>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</si>
  <si>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</si>
  <si>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</si>
  <si>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</si>
  <si>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</si>
  <si>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</si>
  <si>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</si>
  <si>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</si>
  <si>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</si>
  <si>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</si>
  <si>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</si>
  <si>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</si>
  <si>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</si>
  <si>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</si>
  <si>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</si>
  <si>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</si>
  <si>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</si>
  <si>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</si>
  <si>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</si>
  <si>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</si>
  <si>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</si>
  <si>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</si>
  <si>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</si>
  <si>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</si>
  <si>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</si>
  <si>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</si>
  <si>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</si>
  <si>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</si>
  <si>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</si>
  <si>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</si>
  <si>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</si>
  <si>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</si>
  <si>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</si>
  <si>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</si>
  <si>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</si>
  <si>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</si>
  <si>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</si>
  <si>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</si>
  <si>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</si>
  <si>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</si>
  <si>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</si>
  <si>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</si>
  <si>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</si>
  <si>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</si>
  <si>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</si>
  <si>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</si>
  <si>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</si>
  <si>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</si>
  <si>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</si>
  <si>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</si>
  <si>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</si>
  <si>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</si>
  <si>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</si>
  <si>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</si>
  <si>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</si>
  <si>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</si>
  <si>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</si>
  <si>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</si>
  <si>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</si>
  <si>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</si>
  <si>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</si>
  <si>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</si>
  <si>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</si>
  <si>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</si>
  <si>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</si>
  <si>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</si>
  <si>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</si>
  <si>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</si>
  <si>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</si>
  <si>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</si>
  <si>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</si>
  <si>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</si>
  <si>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</si>
  <si>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</si>
  <si>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</si>
  <si>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</si>
  <si>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</si>
  <si>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</si>
  <si>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</si>
  <si>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</si>
  <si>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</si>
  <si>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</si>
  <si>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</si>
  <si>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</si>
  <si>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</si>
  <si>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</si>
  <si>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</si>
  <si>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</si>
  <si>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</si>
  <si>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</si>
  <si>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</si>
  <si>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</si>
  <si>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</si>
  <si>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</si>
  <si>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</si>
  <si>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</si>
  <si>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</si>
  <si>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</si>
  <si>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</si>
  <si>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</si>
  <si>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</si>
  <si>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</si>
  <si>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</si>
  <si>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</si>
  <si>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</si>
  <si>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</si>
  <si>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</si>
  <si>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</si>
  <si>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</si>
  <si>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</si>
  <si>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</si>
  <si>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</si>
  <si>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</si>
  <si>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</si>
  <si>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</si>
  <si>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</si>
  <si>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</si>
  <si>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</si>
  <si>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</si>
  <si>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</si>
  <si>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</si>
  <si>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</si>
  <si>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</si>
  <si>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</si>
  <si>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</si>
  <si>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</si>
  <si>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</si>
  <si>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</si>
  <si>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</si>
  <si>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</si>
  <si>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</si>
  <si>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</si>
  <si>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</si>
  <si>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</si>
  <si>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</si>
  <si>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</si>
  <si>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</si>
  <si>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</si>
  <si>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</si>
  <si>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</si>
  <si>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</si>
  <si>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</si>
  <si>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</si>
  <si>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</si>
  <si>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</si>
  <si>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</si>
  <si>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</si>
  <si>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</si>
  <si>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</si>
  <si>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</si>
  <si>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</si>
  <si>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</si>
  <si>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</si>
  <si>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</si>
  <si>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</si>
  <si>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</si>
  <si>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</si>
  <si>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</si>
  <si>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</si>
  <si>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</si>
  <si>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</si>
  <si>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</si>
  <si>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</si>
  <si>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</si>
  <si>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</si>
  <si>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</si>
  <si>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</si>
  <si>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</si>
  <si>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</si>
  <si>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</si>
  <si>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</si>
  <si>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</si>
  <si>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</si>
  <si>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</si>
  <si>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</si>
  <si>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</si>
  <si>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</si>
  <si>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</si>
  <si>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</si>
  <si>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</si>
  <si>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</si>
  <si>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</si>
  <si>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</si>
  <si>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</si>
  <si>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</si>
  <si>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</si>
  <si>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</si>
  <si>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</si>
  <si>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</si>
  <si>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</si>
  <si>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</si>
  <si>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</si>
  <si>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</si>
  <si>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</si>
  <si>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</si>
  <si>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</si>
  <si>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</si>
  <si>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</si>
  <si>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</si>
  <si>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</si>
  <si>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</si>
  <si>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</si>
  <si>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</si>
  <si>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</si>
  <si>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</si>
  <si>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</si>
  <si>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</si>
  <si>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</si>
  <si>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</si>
  <si>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</si>
  <si>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</si>
  <si>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</si>
  <si>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</si>
  <si>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</si>
  <si>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</si>
  <si>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</si>
  <si>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</si>
  <si>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</si>
  <si>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</si>
  <si>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</si>
  <si>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</si>
  <si>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</si>
  <si>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</si>
  <si>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</si>
  <si>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</si>
  <si>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</si>
  <si>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</si>
  <si>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</si>
  <si>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</si>
  <si>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</si>
  <si>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</si>
  <si>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</si>
  <si>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</si>
  <si>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</si>
  <si>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</si>
  <si>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</si>
  <si>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</si>
  <si>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</si>
  <si>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</si>
  <si>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</si>
  <si>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</si>
  <si>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</si>
  <si>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</si>
  <si>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</si>
  <si>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</si>
  <si>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</si>
  <si>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</si>
  <si>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</si>
  <si>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</si>
  <si>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</si>
  <si>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</si>
  <si>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</si>
  <si>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</si>
  <si>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</si>
  <si>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</si>
  <si>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</si>
  <si>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</si>
  <si>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</si>
  <si>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</si>
  <si>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</si>
  <si>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</si>
  <si>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</si>
  <si>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</si>
  <si>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</si>
  <si>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</si>
  <si>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</si>
  <si>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</si>
  <si>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</si>
  <si>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</si>
  <si>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</si>
  <si>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</si>
  <si>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</si>
  <si>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</si>
  <si>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</si>
  <si>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</si>
  <si>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</si>
  <si>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</si>
  <si>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</si>
  <si>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</si>
  <si>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</si>
  <si>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</si>
  <si>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</si>
  <si>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</si>
  <si>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</si>
  <si>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</si>
  <si>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</si>
  <si>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</si>
  <si>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</si>
  <si>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</si>
  <si>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</si>
  <si>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</si>
  <si>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</si>
  <si>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</si>
  <si>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</si>
  <si>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</si>
  <si>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</si>
  <si>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</si>
  <si>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</si>
  <si>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</si>
  <si>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</si>
  <si>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</si>
  <si>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</si>
  <si>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</si>
  <si>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</si>
  <si>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</si>
  <si>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</si>
  <si>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</si>
  <si>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</si>
  <si>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</si>
  <si>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</si>
  <si>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</si>
  <si>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</si>
  <si>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</si>
  <si>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</si>
  <si>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</si>
  <si>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</si>
  <si>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</si>
  <si>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</si>
  <si>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</si>
  <si>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</si>
  <si>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</si>
  <si>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</si>
  <si>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</si>
  <si>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</si>
  <si>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</si>
  <si>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</si>
  <si>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</si>
  <si>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</si>
  <si>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</si>
  <si>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</si>
  <si>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</si>
  <si>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</si>
  <si>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</si>
  <si>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</si>
  <si>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</si>
  <si>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</si>
  <si>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</si>
  <si>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</si>
  <si>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</si>
  <si>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</si>
  <si>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</si>
  <si>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</si>
  <si>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</si>
  <si>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</si>
  <si>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</si>
  <si>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</si>
  <si>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</si>
  <si>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</si>
  <si>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</si>
  <si>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</si>
  <si>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</si>
  <si>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</si>
  <si>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</si>
  <si>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</si>
  <si>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</si>
  <si>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</si>
  <si>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</si>
  <si>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</si>
  <si>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</si>
  <si>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</si>
  <si>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</si>
  <si>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</si>
  <si>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</si>
  <si>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</si>
  <si>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</si>
  <si>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</si>
  <si>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</si>
  <si>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</si>
  <si>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</si>
  <si>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</si>
  <si>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</si>
  <si>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</si>
  <si>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</si>
  <si>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</si>
  <si>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</si>
  <si>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</si>
  <si>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</si>
  <si>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</si>
  <si>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</si>
  <si>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</si>
  <si>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</si>
  <si>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</si>
  <si>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</si>
  <si>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</si>
  <si>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</si>
  <si>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</si>
  <si>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</si>
  <si>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</si>
  <si>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</si>
  <si>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</si>
  <si>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</si>
  <si>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</si>
  <si>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</si>
  <si>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</si>
  <si>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</si>
  <si>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</si>
  <si>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</si>
  <si>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</si>
  <si>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</si>
  <si>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</si>
  <si>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</si>
  <si>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</si>
  <si>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</si>
  <si>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</si>
  <si>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</si>
  <si>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</si>
  <si>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</si>
  <si>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</si>
  <si>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</si>
  <si>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</si>
  <si>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</si>
  <si>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</si>
  <si>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</si>
  <si>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</si>
  <si>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</si>
  <si>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</si>
  <si>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</si>
  <si>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</si>
  <si>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</si>
  <si>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</si>
  <si>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</si>
  <si>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</si>
  <si>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</si>
  <si>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</si>
  <si>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</si>
  <si>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</si>
  <si>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</si>
  <si>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</si>
  <si>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</si>
  <si>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</si>
  <si>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</si>
  <si>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</si>
  <si>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</si>
  <si>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</si>
  <si>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</si>
  <si>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</si>
  <si>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</si>
  <si>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</si>
  <si>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</si>
  <si>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</si>
  <si>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</si>
  <si>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</si>
  <si>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</si>
  <si>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</si>
  <si>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</si>
  <si>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</si>
  <si>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</si>
  <si>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</si>
  <si>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</si>
  <si>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</si>
  <si>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</si>
  <si>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</si>
  <si>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</si>
  <si>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</si>
  <si>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</si>
  <si>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</si>
  <si>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</si>
  <si>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</si>
  <si>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</si>
  <si>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</si>
  <si>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</si>
  <si>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</si>
  <si>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</si>
  <si>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</si>
  <si>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</si>
  <si>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</si>
  <si>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</si>
  <si>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</si>
  <si>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</si>
  <si>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</si>
  <si>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</si>
  <si>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</si>
  <si>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</si>
  <si>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</si>
  <si>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</si>
  <si>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</si>
  <si>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</si>
  <si>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</si>
  <si>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</si>
  <si>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</si>
  <si>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</si>
  <si>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</si>
  <si>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</si>
  <si>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</si>
  <si>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</si>
  <si>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</si>
  <si>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</si>
  <si>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</si>
  <si>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</si>
  <si>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</si>
  <si>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</si>
  <si>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</si>
  <si>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</si>
  <si>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</si>
  <si>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</si>
  <si>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</si>
  <si>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</si>
  <si>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</si>
  <si>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</si>
  <si>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</si>
  <si>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</si>
  <si>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</si>
  <si>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</si>
  <si>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</si>
  <si>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</si>
  <si>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</si>
  <si>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</si>
  <si>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</si>
  <si>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</si>
  <si>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</si>
  <si>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</si>
  <si>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</si>
  <si>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</si>
  <si>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</si>
  <si>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</si>
  <si>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</si>
  <si>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</si>
  <si>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</si>
  <si>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</si>
  <si>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</si>
  <si>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</si>
  <si>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</si>
  <si>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</si>
  <si>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</si>
  <si>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</si>
  <si>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</si>
  <si>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</si>
  <si>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</si>
  <si>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</si>
  <si>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</si>
  <si>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</si>
  <si>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</si>
  <si>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</si>
  <si>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</si>
  <si>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</si>
  <si>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</si>
  <si>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</si>
  <si>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</si>
  <si>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</si>
  <si>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</si>
  <si>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</si>
  <si>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</si>
  <si>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</si>
  <si>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</si>
  <si>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</si>
  <si>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</si>
  <si>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</si>
  <si>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</si>
  <si>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</si>
  <si>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</si>
  <si>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</si>
  <si>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</si>
  <si>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</si>
  <si>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</si>
  <si>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</si>
  <si>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</si>
  <si>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</si>
  <si>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</si>
  <si>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</si>
  <si>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</si>
  <si>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</si>
  <si>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</si>
  <si>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</si>
  <si>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</si>
  <si>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</si>
  <si>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</si>
  <si>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</si>
  <si>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</si>
  <si>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</si>
  <si>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</si>
  <si>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</si>
  <si>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</si>
  <si>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</si>
  <si>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</si>
  <si>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</si>
  <si>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</si>
  <si>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</si>
  <si>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</si>
  <si>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</si>
  <si>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</si>
  <si>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</si>
  <si>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</si>
  <si>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</si>
  <si>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</si>
  <si>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</si>
  <si>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</si>
  <si>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</si>
  <si>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</si>
  <si>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</si>
  <si>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</si>
  <si>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</si>
  <si>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</si>
  <si>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</si>
  <si>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</si>
  <si>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</si>
  <si>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</si>
  <si>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</si>
  <si>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</si>
  <si>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</si>
  <si>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</si>
  <si>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</si>
  <si>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</si>
  <si>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</si>
  <si>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</si>
  <si>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</si>
  <si>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</si>
  <si>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</si>
  <si>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</si>
  <si>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</si>
  <si>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</si>
  <si>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</si>
  <si>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</si>
  <si>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</si>
  <si>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</si>
  <si>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</si>
  <si>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</si>
  <si>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</si>
  <si>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</si>
  <si>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</si>
  <si>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</si>
  <si>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</si>
  <si>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</si>
  <si>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</si>
  <si>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</si>
  <si>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</si>
  <si>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</si>
  <si>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</si>
  <si>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</si>
  <si>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</si>
  <si>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</si>
  <si>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</si>
  <si>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</si>
  <si>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</si>
  <si>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</si>
  <si>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</si>
  <si>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</si>
  <si>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</si>
  <si>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</si>
  <si>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</si>
  <si>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</si>
  <si>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</si>
  <si>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</si>
  <si>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</si>
  <si>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</si>
  <si>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</si>
  <si>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</si>
  <si>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</si>
  <si>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</si>
  <si>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</si>
  <si>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</si>
  <si>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</si>
  <si>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</si>
  <si>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</si>
  <si>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</si>
  <si>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</si>
  <si>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</si>
  <si>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</si>
  <si>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</si>
  <si>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</si>
  <si>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</si>
  <si>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</si>
  <si>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</si>
  <si>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</si>
  <si>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</si>
  <si>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</si>
  <si>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</si>
  <si>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</si>
  <si>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</si>
  <si>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</si>
  <si>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</si>
  <si>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</si>
  <si>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</si>
  <si>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</si>
  <si>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</si>
  <si>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</si>
  <si>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</si>
  <si>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</si>
  <si>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</si>
  <si>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</si>
  <si>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</si>
  <si>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</si>
  <si>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</si>
  <si>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</si>
  <si>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</si>
  <si>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</si>
  <si>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</si>
  <si>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</si>
  <si>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</si>
  <si>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</si>
  <si>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</si>
  <si>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</si>
  <si>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</si>
  <si>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</si>
  <si>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</si>
  <si>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</si>
  <si>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</si>
  <si>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</si>
  <si>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</si>
  <si>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</si>
  <si>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</si>
  <si>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</si>
  <si>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</si>
  <si>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</si>
  <si>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</si>
  <si>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</si>
  <si>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</si>
  <si>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</si>
  <si>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</si>
  <si>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</si>
  <si>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</si>
  <si>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</si>
  <si>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</si>
  <si>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</si>
  <si>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</si>
  <si>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</si>
  <si>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</si>
  <si>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</si>
  <si>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</si>
  <si>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</si>
  <si>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</si>
  <si>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</si>
  <si>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</si>
  <si>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</si>
  <si>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</si>
  <si>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</si>
  <si>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</si>
  <si>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</si>
  <si>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</si>
  <si>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</si>
  <si>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</si>
  <si>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</si>
  <si>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</si>
  <si>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</si>
  <si>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</si>
  <si>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</si>
  <si>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</si>
  <si>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</si>
  <si>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</si>
  <si>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</si>
  <si>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</si>
  <si>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</si>
  <si>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</si>
  <si>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</si>
  <si>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</si>
  <si>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</si>
  <si>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</si>
  <si>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</si>
  <si>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</si>
  <si>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</si>
  <si>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</si>
  <si>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</si>
  <si>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</si>
  <si>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</si>
  <si>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</si>
  <si>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</si>
  <si>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</si>
  <si>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</si>
  <si>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</si>
  <si>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</si>
  <si>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</si>
  <si>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</si>
  <si>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</si>
  <si>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</si>
  <si>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</si>
  <si>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</si>
  <si>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</si>
  <si>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</si>
  <si>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</si>
  <si>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</si>
  <si>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</si>
  <si>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</si>
  <si>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</si>
  <si>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</si>
  <si>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</si>
  <si>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</si>
  <si>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</si>
  <si>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</si>
  <si>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</si>
  <si>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</si>
  <si>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</si>
  <si>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</si>
  <si>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</si>
  <si>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</si>
  <si>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</si>
  <si>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</si>
  <si>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</si>
  <si>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</si>
  <si>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</si>
  <si>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</si>
  <si>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</si>
  <si>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</si>
  <si>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</si>
  <si>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</si>
  <si>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</si>
  <si>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</si>
  <si>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</si>
  <si>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</si>
  <si>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</si>
  <si>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</si>
  <si>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</si>
  <si>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</si>
  <si>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</si>
  <si>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</si>
  <si>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</si>
  <si>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</si>
  <si>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</si>
  <si>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</si>
  <si>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</si>
  <si>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</si>
  <si>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</si>
  <si>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</si>
  <si>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</si>
  <si>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</si>
  <si>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</si>
  <si>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</si>
  <si>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</si>
  <si>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</si>
  <si>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</si>
  <si>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</si>
  <si>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</si>
  <si>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</si>
  <si>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</si>
  <si>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</si>
  <si>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</si>
  <si>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</si>
  <si>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</si>
  <si>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</si>
  <si>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</si>
  <si>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</si>
  <si>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</si>
  <si>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</si>
  <si>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</si>
  <si>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</si>
  <si>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</si>
  <si>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</si>
  <si>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</si>
  <si>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</si>
  <si>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</si>
  <si>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</si>
  <si>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</si>
  <si>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</si>
  <si>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</si>
  <si>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</si>
  <si>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</si>
  <si>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</si>
  <si>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</si>
  <si>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</si>
  <si>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</si>
  <si>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</si>
  <si>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</si>
  <si>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</si>
  <si>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</si>
  <si>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</si>
  <si>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</si>
  <si>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</si>
  <si>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</si>
  <si>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</si>
  <si>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</si>
  <si>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</si>
  <si>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</si>
  <si>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</si>
  <si>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</si>
  <si>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</si>
  <si>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</si>
  <si>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</si>
  <si>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</si>
  <si>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</si>
  <si>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</si>
  <si>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</si>
  <si>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</si>
  <si>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</si>
  <si>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</si>
  <si>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</si>
  <si>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</si>
  <si>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</si>
  <si>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</si>
  <si>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</si>
  <si>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</si>
  <si>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</si>
  <si>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</si>
  <si>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</si>
  <si>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</si>
  <si>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</si>
  <si>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</si>
  <si>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</si>
  <si>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</si>
  <si>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</si>
  <si>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</si>
  <si>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</si>
  <si>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</si>
  <si>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</si>
  <si>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</si>
  <si>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</si>
  <si>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</si>
  <si>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</si>
  <si>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</si>
  <si>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</si>
  <si>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</si>
  <si>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</si>
  <si>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</si>
  <si>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</si>
  <si>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</si>
  <si>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</si>
  <si>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</si>
  <si>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</si>
  <si>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</si>
  <si>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</si>
  <si>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</si>
  <si>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</si>
  <si>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</si>
  <si>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</si>
  <si>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</si>
  <si>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</si>
  <si>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</si>
  <si>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</si>
  <si>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</si>
  <si>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</si>
  <si>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</si>
  <si>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</si>
  <si>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</si>
  <si>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</si>
  <si>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</si>
  <si>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</si>
  <si>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</si>
  <si>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</si>
  <si>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</si>
  <si>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</si>
  <si>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</si>
  <si>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</si>
  <si>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</si>
  <si>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</si>
  <si>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</si>
  <si>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</si>
  <si>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</si>
  <si>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</si>
  <si>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</si>
  <si>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</si>
  <si>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</si>
  <si>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</si>
  <si>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</si>
  <si>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</si>
  <si>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</si>
  <si>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</si>
  <si>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</si>
  <si>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</si>
  <si>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</si>
  <si>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</si>
  <si>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</si>
  <si>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</si>
  <si>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</si>
  <si>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</si>
  <si>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</si>
  <si>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</si>
  <si>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</si>
  <si>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</si>
  <si>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</si>
  <si>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</si>
  <si>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</si>
  <si>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</si>
  <si>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</si>
  <si>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</si>
  <si>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</si>
  <si>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</si>
  <si>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</si>
  <si>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</si>
  <si>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</si>
  <si>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</si>
  <si>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</si>
  <si>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</si>
  <si>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</si>
  <si>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</si>
  <si>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</si>
  <si>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</si>
  <si>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</si>
  <si>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</si>
  <si>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</si>
  <si>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</si>
  <si>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</si>
  <si>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</si>
  <si>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</si>
  <si>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</si>
  <si>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</si>
  <si>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</si>
  <si>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</si>
  <si>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</si>
  <si>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</si>
  <si>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</si>
  <si>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</si>
  <si>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</si>
  <si>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</si>
  <si>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</si>
  <si>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</si>
  <si>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</si>
  <si>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</si>
  <si>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</si>
  <si>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</si>
  <si>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</si>
  <si>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</si>
  <si>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</si>
  <si>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</si>
  <si>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</si>
  <si>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</si>
  <si>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</si>
  <si>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</si>
  <si>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</si>
  <si>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</si>
  <si>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</si>
  <si>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</si>
  <si>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</si>
  <si>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</si>
  <si>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</si>
  <si>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</si>
  <si>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</si>
  <si>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</si>
  <si>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</si>
  <si>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</si>
  <si>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</si>
  <si>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</si>
  <si>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</si>
  <si>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</si>
  <si>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</si>
  <si>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</si>
  <si>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</si>
  <si>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</si>
  <si>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</si>
  <si>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</si>
  <si>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</si>
  <si>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</si>
  <si>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</si>
  <si>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</si>
  <si>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</si>
  <si>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</si>
  <si>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</si>
  <si>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</si>
  <si>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</si>
  <si>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</si>
  <si>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</si>
  <si>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</si>
  <si>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</si>
  <si>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</si>
  <si>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</si>
  <si>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</si>
  <si>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</si>
  <si>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</si>
  <si>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</si>
  <si>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</si>
  <si>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</si>
  <si>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</si>
  <si>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</si>
  <si>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</si>
  <si>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</si>
  <si>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</si>
  <si>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</si>
  <si>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</si>
  <si>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</si>
  <si>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</si>
  <si>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</si>
  <si>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</si>
  <si>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</si>
  <si>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</si>
  <si>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</si>
  <si>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</si>
  <si>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</si>
  <si>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</si>
  <si>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</si>
  <si>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</si>
  <si>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</si>
  <si>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</si>
  <si>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</si>
  <si>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</si>
  <si>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</si>
  <si>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</si>
  <si>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</si>
  <si>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</si>
  <si>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</si>
  <si>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</si>
  <si>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</si>
  <si>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</si>
  <si>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</si>
  <si>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</si>
  <si>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</si>
  <si>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</si>
  <si>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</si>
  <si>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</si>
  <si>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</si>
  <si>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</si>
  <si>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</si>
  <si>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</si>
  <si>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</si>
  <si>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</si>
  <si>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</si>
  <si>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</si>
  <si>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</si>
  <si>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</si>
  <si>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</si>
  <si>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</si>
  <si>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</si>
  <si>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</si>
  <si>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</si>
  <si>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</si>
  <si>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</si>
  <si>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</si>
  <si>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</si>
  <si>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</si>
  <si>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</si>
  <si>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</si>
  <si>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</si>
  <si>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</si>
  <si>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</si>
  <si>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</si>
  <si>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</si>
  <si>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</si>
  <si>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</si>
  <si>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</si>
  <si>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</si>
  <si>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</si>
  <si>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</si>
  <si>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</si>
  <si>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</si>
  <si>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</si>
  <si>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</si>
  <si>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</si>
  <si>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</si>
  <si>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</si>
  <si>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</si>
  <si>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</si>
  <si>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</si>
  <si>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</si>
  <si>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</si>
  <si>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</si>
  <si>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</si>
  <si>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</si>
  <si>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</si>
  <si>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</si>
  <si>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</si>
  <si>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</si>
  <si>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</si>
  <si>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</si>
  <si>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</si>
  <si>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</si>
  <si>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</si>
  <si>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</si>
  <si>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</si>
  <si>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</si>
  <si>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</si>
  <si>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</si>
  <si>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</si>
  <si>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</si>
  <si>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</si>
  <si>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</si>
  <si>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</si>
  <si>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</si>
  <si>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</si>
  <si>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</si>
  <si>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</si>
  <si>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</si>
  <si>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</si>
  <si>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</si>
  <si>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</si>
  <si>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</si>
  <si>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</si>
  <si>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</si>
  <si>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</si>
  <si>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</si>
  <si>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</si>
  <si>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</si>
  <si>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</si>
  <si>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</si>
  <si>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</si>
  <si>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</si>
  <si>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</si>
  <si>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</si>
  <si>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</si>
  <si>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</si>
  <si>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</si>
  <si>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</si>
  <si>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</si>
  <si>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</si>
  <si>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</si>
  <si>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</si>
  <si>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</si>
  <si>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</si>
  <si>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</si>
  <si>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</si>
  <si>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</si>
  <si>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</si>
  <si>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</si>
  <si>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</si>
  <si>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</si>
  <si>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</si>
  <si>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</si>
  <si>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</si>
  <si>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</si>
  <si>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</si>
  <si>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</si>
  <si>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</si>
  <si>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</si>
  <si>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</si>
  <si>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</si>
  <si>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</si>
  <si>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</si>
  <si>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</si>
  <si>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</si>
  <si>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</si>
  <si>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</si>
  <si>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</si>
  <si>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</si>
  <si>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</si>
  <si>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</si>
  <si>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</si>
  <si>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</si>
  <si>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</si>
  <si>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</si>
  <si>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</si>
  <si>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</si>
  <si>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</si>
  <si>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</si>
  <si>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</si>
  <si>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</si>
  <si>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</si>
  <si>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</si>
  <si>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</si>
  <si>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</si>
  <si>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</si>
  <si>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</si>
  <si>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</si>
  <si>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</si>
  <si>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</si>
  <si>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</si>
  <si>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</si>
  <si>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</si>
  <si>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</si>
  <si>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</si>
  <si>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</si>
  <si>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</si>
  <si>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</si>
  <si>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</si>
  <si>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</si>
  <si>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</si>
  <si>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</si>
  <si>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</si>
  <si>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</si>
  <si>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</si>
  <si>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</si>
  <si>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</si>
  <si>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</si>
  <si>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</si>
  <si>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</si>
  <si>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</si>
  <si>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</si>
  <si>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</si>
  <si>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</si>
  <si>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</si>
  <si>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</si>
  <si>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</si>
  <si>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</si>
  <si>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</si>
  <si>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</si>
  <si>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</si>
  <si>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</si>
  <si>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</si>
  <si>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</si>
  <si>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</si>
  <si>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</si>
  <si>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</si>
  <si>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</si>
  <si>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</si>
  <si>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</si>
  <si>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</si>
  <si>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</si>
  <si>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</si>
  <si>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</si>
  <si>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</si>
  <si>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</si>
  <si>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</si>
  <si>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</si>
  <si>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</si>
  <si>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</si>
  <si>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</si>
  <si>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</si>
  <si>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</si>
  <si>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</si>
  <si>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</si>
  <si>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</si>
  <si>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</si>
  <si>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</si>
  <si>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</si>
  <si>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</si>
  <si>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</si>
  <si>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</si>
  <si>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</si>
  <si>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</si>
  <si>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</si>
  <si>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</si>
  <si>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</si>
  <si>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</si>
  <si>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</si>
  <si>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</si>
  <si>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</si>
  <si>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</si>
  <si>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</si>
  <si>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</si>
  <si>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</si>
  <si>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</si>
  <si>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</si>
  <si>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</si>
  <si>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</si>
  <si>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</si>
  <si>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</si>
  <si>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</si>
  <si>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</si>
  <si>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</si>
  <si>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</si>
  <si>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</si>
  <si>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</si>
  <si>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</si>
  <si>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</si>
  <si>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</si>
  <si>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</si>
  <si>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</si>
  <si>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</si>
  <si>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</si>
  <si>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</si>
  <si>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</si>
  <si>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</si>
  <si>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</si>
  <si>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</si>
  <si>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</si>
  <si>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</si>
  <si>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</si>
  <si>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</si>
  <si>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</si>
  <si>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</si>
  <si>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</si>
  <si>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</si>
  <si>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</si>
  <si>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</si>
  <si>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</si>
  <si>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</si>
  <si>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</si>
  <si>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</si>
  <si>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</si>
  <si>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</si>
  <si>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</si>
  <si>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</si>
  <si>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</si>
  <si>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</si>
  <si>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</si>
  <si>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</si>
  <si>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</si>
  <si>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</si>
  <si>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</si>
  <si>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</si>
  <si>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</si>
  <si>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</si>
  <si>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</si>
  <si>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</si>
  <si>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</si>
  <si>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</si>
  <si>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</si>
  <si>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</si>
  <si>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</si>
  <si>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</si>
  <si>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</si>
  <si>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</si>
  <si>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</si>
  <si>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</si>
  <si>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</si>
  <si>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</si>
  <si>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</si>
  <si>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</si>
  <si>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</si>
  <si>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</si>
  <si>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</si>
  <si>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</si>
  <si>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</si>
  <si>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</si>
  <si>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</si>
  <si>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</si>
  <si>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</si>
  <si>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</si>
  <si>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</si>
  <si>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</si>
  <si>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</si>
  <si>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</si>
  <si>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</si>
  <si>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</si>
  <si>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</si>
  <si>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</si>
  <si>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</si>
  <si>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</si>
  <si>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</si>
  <si>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</si>
  <si>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</si>
  <si>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</si>
  <si>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</si>
  <si>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</si>
  <si>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</si>
  <si>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</si>
  <si>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</si>
  <si>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</si>
  <si>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</si>
  <si>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</si>
  <si>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</si>
  <si>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</si>
  <si>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</si>
  <si>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</si>
  <si>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</si>
  <si>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</si>
  <si>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</si>
  <si>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</si>
  <si>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</si>
  <si>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</si>
  <si>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</si>
  <si>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</si>
  <si>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</si>
  <si>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</si>
  <si>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</si>
  <si>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</si>
  <si>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</si>
  <si>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</si>
  <si>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</si>
  <si>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</si>
  <si>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</si>
  <si>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</si>
  <si>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</si>
  <si>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</si>
  <si>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</si>
  <si>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</si>
  <si>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</si>
  <si>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</si>
  <si>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</si>
  <si>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</si>
  <si>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</si>
  <si>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</si>
  <si>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</si>
  <si>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</si>
  <si>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</si>
  <si>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</si>
  <si>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</si>
  <si>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</si>
  <si>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</si>
  <si>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</si>
  <si>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</si>
  <si>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</si>
  <si>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</si>
  <si>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</si>
  <si>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</si>
  <si>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</si>
  <si>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</si>
  <si>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</si>
  <si>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</si>
  <si>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</si>
  <si>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</si>
  <si>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</si>
  <si>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</si>
  <si>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</si>
  <si>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</si>
  <si>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</si>
  <si>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</si>
  <si>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</si>
  <si>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</si>
  <si>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</si>
  <si>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</si>
  <si>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</si>
  <si>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</si>
  <si>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</si>
  <si>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</si>
  <si>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</si>
  <si>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</si>
  <si>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</si>
  <si>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</si>
  <si>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</si>
  <si>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</si>
  <si>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</si>
  <si>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</si>
  <si>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</si>
  <si>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</si>
  <si>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</si>
  <si>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</si>
  <si>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</si>
  <si>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</si>
  <si>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</si>
  <si>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</si>
  <si>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</si>
  <si>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</si>
  <si>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</si>
  <si>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</si>
  <si>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</si>
  <si>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</si>
  <si>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</si>
  <si>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</si>
  <si>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</si>
  <si>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</si>
  <si>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</si>
  <si>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</si>
  <si>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</si>
  <si>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</si>
  <si>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</si>
  <si>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</si>
  <si>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</si>
  <si>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</si>
  <si>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</si>
  <si>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</si>
  <si>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</si>
  <si>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</si>
  <si>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</si>
  <si>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</si>
  <si>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</si>
  <si>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</si>
  <si>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</si>
  <si>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</si>
  <si>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</si>
  <si>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</si>
  <si>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</si>
  <si>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</si>
  <si>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</si>
  <si>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</si>
  <si>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</si>
  <si>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</si>
  <si>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</si>
  <si>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</si>
  <si>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</si>
  <si>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</si>
  <si>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</si>
  <si>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</si>
  <si>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</si>
  <si>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</si>
  <si>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</si>
  <si>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</si>
  <si>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</si>
  <si>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</si>
  <si>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</si>
  <si>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</si>
  <si>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</si>
  <si>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</si>
  <si>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</si>
  <si>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</si>
  <si>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</si>
  <si>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</si>
  <si>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</si>
  <si>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</si>
  <si>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</si>
  <si>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</si>
  <si>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</si>
  <si>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</si>
  <si>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</si>
  <si>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</si>
  <si>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</si>
  <si>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</si>
  <si>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</si>
  <si>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</si>
  <si>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</si>
  <si>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</si>
  <si>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</si>
  <si>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</si>
  <si>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</si>
  <si>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</si>
  <si>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</si>
  <si>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</si>
  <si>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</si>
  <si>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</si>
  <si>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</si>
  <si>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</si>
  <si>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</si>
  <si>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</si>
  <si>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</si>
  <si>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</si>
  <si>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</si>
  <si>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</si>
  <si>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</si>
  <si>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</si>
  <si>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</si>
  <si>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</si>
  <si>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</si>
  <si>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</si>
  <si>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</si>
  <si>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</si>
  <si>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</si>
  <si>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</si>
  <si>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</si>
  <si>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</si>
  <si>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</si>
  <si>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</si>
  <si>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</si>
  <si>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</si>
  <si>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</si>
  <si>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</si>
  <si>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</si>
  <si>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</si>
  <si>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</si>
  <si>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</si>
  <si>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</si>
  <si>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</si>
  <si>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</si>
  <si>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</si>
  <si>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</si>
  <si>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</si>
  <si>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</si>
  <si>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</si>
  <si>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</si>
  <si>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</si>
  <si>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</si>
  <si>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</si>
  <si>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</si>
  <si>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</si>
  <si>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</si>
  <si>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</si>
  <si>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</si>
  <si>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</si>
  <si>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</si>
  <si>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</si>
  <si>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</si>
  <si>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</si>
  <si>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</si>
  <si>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</si>
  <si>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</si>
  <si>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</si>
  <si>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</si>
  <si>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</si>
  <si>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</si>
  <si>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</si>
  <si>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</si>
  <si>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</si>
  <si>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</si>
  <si>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</si>
  <si>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</si>
  <si>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</si>
  <si>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</si>
  <si>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</si>
  <si>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</si>
  <si>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</si>
  <si>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</si>
  <si>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</si>
  <si>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</si>
  <si>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</si>
  <si>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</si>
  <si>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</si>
  <si>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</si>
  <si>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</si>
  <si>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</si>
  <si>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</si>
  <si>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</si>
  <si>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</si>
  <si>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</si>
  <si>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</si>
  <si>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</si>
  <si>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</si>
  <si>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</si>
  <si>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</si>
  <si>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</si>
  <si>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</si>
  <si>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</si>
  <si>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</si>
  <si>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</si>
  <si>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</si>
  <si>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</si>
  <si>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</si>
  <si>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</si>
  <si>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</si>
  <si>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</si>
  <si>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</si>
  <si>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</si>
  <si>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</si>
  <si>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</si>
  <si>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</si>
  <si>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</si>
  <si>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</si>
  <si>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</si>
  <si>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</si>
  <si>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</si>
  <si>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</si>
  <si>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</si>
  <si>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</si>
  <si>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</si>
  <si>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</si>
  <si>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</si>
  <si>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</si>
  <si>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</si>
  <si>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</si>
  <si>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</si>
  <si>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</si>
  <si>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</si>
  <si>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</si>
  <si>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</si>
  <si>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</si>
  <si>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</si>
  <si>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</si>
  <si>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</si>
  <si>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</si>
  <si>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</si>
  <si>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</si>
  <si>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</si>
  <si>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</si>
  <si>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</si>
  <si>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</si>
  <si>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</si>
  <si>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</si>
  <si>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</si>
  <si>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</si>
  <si>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</si>
  <si>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</si>
  <si>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</si>
  <si>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</si>
  <si>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</si>
  <si>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</si>
  <si>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</si>
  <si>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</si>
  <si>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</si>
  <si>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</si>
  <si>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</si>
  <si>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</si>
  <si>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</si>
  <si>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</si>
  <si>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</si>
  <si>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</si>
  <si>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</si>
  <si>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</si>
  <si>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</si>
  <si>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</si>
  <si>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</si>
  <si>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</si>
  <si>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</si>
  <si>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</si>
  <si>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</si>
  <si>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</si>
  <si>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</si>
  <si>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</si>
  <si>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</si>
  <si>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</si>
  <si>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</si>
  <si>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</si>
  <si>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</si>
  <si>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</si>
  <si>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</si>
  <si>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</si>
  <si>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</si>
  <si>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</si>
  <si>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</si>
  <si>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</si>
  <si>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</si>
  <si>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</si>
  <si>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</si>
  <si>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</si>
  <si>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</si>
  <si>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</si>
  <si>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</si>
  <si>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</si>
  <si>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</si>
  <si>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</si>
  <si>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</si>
  <si>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</si>
  <si>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</si>
  <si>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</si>
  <si>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</si>
  <si>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</si>
  <si>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</si>
  <si>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</si>
  <si>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</si>
  <si>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</si>
  <si>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</si>
  <si>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</si>
  <si>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</si>
  <si>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</si>
  <si>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</si>
  <si>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</si>
  <si>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</si>
  <si>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</si>
  <si>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</si>
  <si>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</si>
  <si>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</si>
  <si>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</si>
  <si>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</si>
  <si>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</si>
  <si>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</si>
  <si>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</si>
  <si>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</si>
  <si>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</si>
  <si>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</si>
  <si>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</si>
  <si>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</si>
  <si>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</si>
  <si>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</si>
  <si>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</si>
  <si>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</si>
  <si>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</si>
  <si>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</si>
  <si>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</si>
  <si>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</si>
  <si>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</si>
  <si>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</si>
  <si>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</si>
  <si>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</si>
  <si>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</si>
  <si>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</si>
  <si>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</si>
  <si>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</si>
  <si>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</si>
  <si>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</si>
  <si>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</si>
  <si>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</si>
  <si>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</si>
  <si>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</si>
  <si>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</si>
  <si>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</si>
  <si>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</si>
  <si>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</si>
  <si>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</si>
  <si>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</si>
  <si>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</si>
  <si>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</si>
  <si>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</si>
  <si>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</si>
  <si>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</si>
  <si>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</si>
  <si>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</si>
  <si>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</si>
  <si>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</si>
  <si>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</si>
  <si>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</si>
  <si>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</si>
  <si>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</si>
  <si>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</si>
  <si>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</si>
  <si>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</si>
  <si>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</si>
  <si>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</si>
  <si>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</si>
  <si>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</si>
  <si>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</si>
  <si>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</si>
  <si>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</si>
  <si>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</si>
  <si>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</si>
  <si>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</si>
  <si>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</si>
  <si>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</si>
  <si>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</si>
  <si>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</si>
  <si>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</si>
  <si>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</si>
  <si>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</si>
  <si>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</si>
  <si>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</si>
  <si>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</si>
  <si>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</si>
  <si>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</si>
  <si>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</si>
  <si>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</si>
  <si>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</si>
  <si>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</si>
  <si>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</si>
  <si>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</si>
  <si>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</si>
  <si>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</si>
  <si>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</si>
  <si>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</si>
  <si>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</si>
  <si>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</si>
  <si>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</si>
  <si>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</si>
  <si>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</si>
  <si>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</si>
  <si>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</si>
  <si>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</si>
  <si>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</si>
  <si>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</si>
  <si>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</si>
  <si>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</si>
  <si>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</si>
  <si>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</si>
  <si>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</si>
  <si>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</si>
  <si>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</si>
  <si>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</si>
  <si>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</si>
  <si>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</si>
  <si>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</si>
  <si>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</si>
  <si>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</si>
  <si>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</si>
  <si>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</si>
  <si>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</si>
  <si>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</si>
  <si>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</si>
  <si>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</si>
  <si>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</si>
  <si>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</si>
  <si>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</si>
  <si>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</si>
  <si>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</si>
  <si>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</si>
  <si>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</si>
  <si>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</si>
  <si>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</si>
  <si>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</si>
  <si>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</si>
  <si>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</si>
  <si>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</si>
  <si>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</si>
  <si>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</si>
  <si>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</si>
  <si>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</si>
  <si>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</si>
  <si>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</si>
  <si>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</si>
  <si>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</si>
  <si>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</si>
  <si>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</si>
  <si>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</si>
  <si>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</si>
  <si>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</si>
  <si>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</si>
  <si>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</si>
  <si>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</si>
  <si>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</si>
  <si>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</si>
  <si>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</si>
  <si>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</si>
  <si>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</si>
  <si>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</si>
  <si>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</si>
  <si>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</si>
  <si>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</si>
  <si>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</si>
  <si>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</si>
  <si>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</si>
  <si>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</si>
  <si>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</si>
  <si>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</si>
  <si>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</si>
  <si>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</si>
  <si>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</si>
  <si>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</si>
  <si>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</si>
  <si>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</si>
  <si>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</si>
  <si>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</si>
  <si>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</si>
  <si>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</si>
  <si>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</si>
  <si>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</si>
  <si>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</si>
  <si>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</si>
  <si>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</si>
  <si>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</si>
  <si>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</si>
  <si>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</si>
  <si>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</si>
  <si>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</si>
  <si>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</si>
  <si>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</si>
  <si>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</si>
  <si>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</si>
  <si>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</si>
  <si>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</si>
  <si>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</si>
  <si>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</si>
  <si>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</si>
  <si>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</si>
  <si>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</si>
  <si>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</si>
  <si>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</si>
  <si>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</si>
  <si>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</si>
  <si>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</si>
  <si>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</si>
  <si>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</si>
  <si>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</si>
  <si>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</si>
  <si>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</si>
  <si>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</si>
  <si>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</si>
  <si>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</si>
  <si>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</si>
  <si>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</si>
  <si>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</si>
  <si>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</si>
  <si>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</si>
  <si>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</si>
  <si>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</si>
  <si>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</si>
  <si>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</si>
  <si>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</si>
  <si>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</si>
  <si>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</si>
  <si>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</si>
  <si>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</si>
  <si>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</si>
  <si>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</si>
  <si>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</si>
  <si>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</si>
  <si>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</si>
  <si>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</si>
  <si>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</si>
  <si>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</si>
  <si>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</si>
  <si>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</si>
  <si>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</si>
  <si>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</si>
  <si>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</si>
  <si>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</si>
  <si>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</si>
  <si>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</si>
  <si>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</si>
  <si>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</si>
  <si>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</si>
  <si>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</si>
  <si>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</si>
  <si>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</si>
  <si>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</si>
  <si>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</si>
  <si>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</si>
  <si>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</si>
  <si>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</si>
  <si>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</si>
  <si>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</si>
  <si>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</si>
  <si>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</si>
  <si>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</si>
  <si>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</si>
  <si>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</si>
  <si>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</si>
  <si>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</si>
  <si>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</si>
  <si>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</si>
  <si>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</si>
  <si>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</si>
  <si>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</si>
  <si>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</si>
  <si>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</si>
  <si>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</si>
  <si>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</si>
  <si>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</si>
  <si>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</si>
  <si>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</si>
  <si>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</si>
  <si>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</si>
  <si>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</si>
  <si>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</si>
  <si>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</si>
  <si>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</si>
  <si>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</si>
  <si>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</si>
  <si>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</si>
  <si>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</si>
  <si>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</si>
  <si>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</si>
  <si>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</si>
  <si>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</si>
  <si>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</si>
  <si>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</si>
  <si>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</si>
  <si>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</si>
  <si>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</si>
  <si>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</si>
  <si>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</si>
  <si>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</si>
  <si>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</si>
  <si>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</si>
  <si>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</si>
  <si>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</si>
  <si>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</si>
  <si>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</si>
  <si>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</si>
  <si>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</si>
  <si>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</si>
  <si>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</si>
  <si>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</si>
  <si>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</si>
  <si>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</si>
  <si>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</si>
  <si>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</si>
  <si>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</si>
  <si>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</si>
  <si>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</si>
  <si>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</si>
  <si>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</si>
  <si>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</si>
  <si>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</si>
  <si>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</si>
  <si>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</si>
  <si>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</si>
  <si>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</si>
  <si>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</si>
  <si>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</si>
  <si>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</si>
  <si>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</si>
  <si>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</si>
  <si>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</si>
  <si>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</si>
  <si>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</si>
  <si>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</si>
  <si>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</si>
  <si>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</si>
  <si>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</si>
  <si>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</si>
  <si>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</si>
  <si>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</si>
  <si>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</si>
  <si>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</si>
  <si>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</si>
  <si>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</si>
  <si>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</si>
  <si>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</si>
  <si>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</si>
  <si>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</si>
  <si>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</si>
  <si>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</si>
  <si>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</si>
  <si>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</si>
  <si>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</si>
  <si>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</si>
  <si>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</si>
  <si>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</si>
  <si>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</si>
  <si>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</si>
  <si>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</si>
  <si>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</si>
  <si>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</si>
  <si>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</si>
  <si>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</si>
  <si>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</si>
  <si>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</si>
  <si>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</si>
  <si>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</si>
  <si>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</si>
  <si>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</si>
  <si>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</si>
  <si>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</si>
  <si>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</si>
  <si>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</si>
  <si>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</si>
  <si>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</si>
  <si>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</si>
  <si>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</si>
  <si>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</si>
  <si>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</si>
  <si>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</si>
  <si>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</si>
  <si>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</si>
  <si>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</si>
  <si>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</si>
  <si>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</si>
  <si>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</si>
  <si>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</si>
  <si>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</si>
  <si>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</si>
  <si>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</si>
  <si>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</si>
  <si>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</si>
  <si>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</si>
  <si>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</si>
  <si>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</si>
  <si>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</si>
  <si>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</si>
  <si>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</si>
  <si>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</si>
  <si>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</si>
  <si>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</si>
  <si>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</si>
  <si>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</si>
  <si>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</si>
  <si>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</si>
  <si>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</si>
  <si>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</si>
  <si>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</si>
  <si>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</si>
  <si>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</si>
  <si>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</si>
  <si>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</si>
  <si>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</si>
  <si>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</si>
  <si>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</si>
  <si>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</si>
  <si>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</si>
  <si>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</si>
  <si>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</si>
  <si>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</si>
  <si>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</si>
  <si>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</si>
  <si>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</si>
  <si>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</si>
  <si>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</si>
  <si>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</si>
  <si>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</si>
  <si>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</si>
  <si>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</si>
  <si>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</si>
  <si>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</si>
  <si>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</si>
  <si>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</si>
  <si>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</si>
  <si>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</si>
  <si>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</si>
  <si>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</si>
  <si>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</si>
  <si>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</si>
  <si>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</si>
  <si>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</si>
  <si>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</si>
  <si>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</si>
  <si>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</si>
  <si>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</si>
  <si>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</si>
  <si>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</si>
  <si>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</si>
  <si>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</si>
  <si>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</si>
  <si>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</si>
  <si>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</si>
  <si>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</si>
  <si>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</si>
  <si>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</si>
  <si>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</si>
  <si>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</si>
  <si>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</si>
  <si>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</si>
  <si>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</si>
  <si>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</si>
  <si>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</si>
  <si>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</si>
  <si>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</si>
  <si>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</si>
  <si>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</si>
  <si>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</si>
  <si>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</si>
  <si>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</si>
  <si>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</si>
  <si>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</si>
  <si>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</si>
  <si>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</si>
  <si>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</si>
  <si>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</si>
  <si>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</si>
  <si>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</si>
  <si>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</si>
  <si>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</si>
  <si>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</si>
  <si>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</si>
  <si>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</si>
  <si>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</si>
  <si>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</si>
  <si>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</si>
  <si>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</si>
  <si>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</si>
  <si>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</si>
  <si>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</si>
  <si>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</si>
  <si>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</si>
  <si>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</si>
  <si>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</si>
  <si>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</si>
  <si>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</si>
  <si>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</si>
  <si>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</si>
  <si>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</si>
  <si>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</si>
  <si>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</si>
  <si>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</si>
  <si>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</si>
  <si>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</si>
  <si>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</si>
  <si>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</si>
  <si>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</si>
  <si>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</si>
  <si>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</si>
  <si>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</si>
  <si>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</si>
  <si>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</si>
  <si>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</si>
  <si>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</si>
  <si>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</si>
  <si>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</si>
  <si>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</si>
  <si>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</si>
  <si>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</si>
  <si>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</si>
  <si>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</si>
  <si>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</si>
  <si>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</si>
  <si>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</si>
  <si>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</si>
  <si>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</si>
  <si>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</si>
  <si>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</si>
  <si>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</si>
  <si>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</si>
  <si>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</si>
  <si>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</si>
  <si>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</si>
  <si>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</si>
  <si>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</si>
  <si>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</si>
  <si>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</si>
  <si>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</si>
  <si>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</si>
  <si>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</si>
  <si>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</si>
  <si>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</si>
  <si>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</si>
  <si>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</si>
  <si>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</si>
  <si>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</si>
  <si>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</si>
  <si>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</si>
  <si>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</si>
  <si>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</si>
  <si>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</si>
  <si>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</si>
  <si>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</si>
  <si>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</si>
  <si>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</si>
  <si>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</si>
  <si>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</si>
  <si>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</si>
  <si>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</si>
  <si>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</si>
  <si>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</si>
  <si>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</si>
  <si>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</si>
  <si>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</si>
  <si>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</si>
  <si>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</si>
  <si>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</si>
  <si>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</si>
  <si>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</si>
  <si>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</si>
  <si>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</si>
  <si>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</si>
  <si>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</si>
  <si>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</si>
  <si>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</si>
  <si>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</si>
  <si>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</si>
  <si>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</si>
  <si>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</si>
  <si>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</si>
  <si>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</si>
  <si>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</si>
  <si>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</si>
  <si>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</si>
  <si>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</si>
  <si>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</si>
  <si>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</si>
  <si>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</si>
  <si>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</si>
  <si>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</si>
  <si>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</si>
  <si>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</si>
  <si>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</si>
  <si>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</si>
  <si>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</si>
  <si>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</si>
  <si>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</si>
  <si>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</si>
  <si>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</si>
  <si>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</si>
  <si>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</si>
  <si>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</si>
  <si>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</si>
  <si>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</si>
  <si>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</si>
  <si>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</si>
  <si>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</si>
  <si>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</si>
  <si>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</si>
  <si>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</si>
  <si>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</si>
  <si>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</si>
  <si>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</si>
  <si>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</si>
  <si>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</si>
  <si>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</si>
  <si>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</si>
  <si>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</si>
  <si>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</si>
  <si>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</si>
  <si>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</si>
  <si>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</si>
  <si>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</si>
  <si>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</si>
  <si>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</si>
  <si>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</si>
  <si>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</si>
  <si>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</si>
  <si>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</si>
  <si>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</si>
  <si>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</si>
  <si>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</si>
  <si>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</si>
  <si>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</si>
  <si>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</si>
  <si>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</si>
  <si>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</si>
  <si>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</si>
  <si>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</si>
  <si>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</si>
  <si>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</si>
  <si>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</si>
  <si>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</si>
  <si>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</si>
  <si>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</si>
  <si>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</si>
  <si>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</si>
  <si>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</si>
  <si>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</si>
  <si>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</si>
  <si>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</si>
  <si>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</si>
  <si>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</si>
  <si>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</si>
  <si>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</si>
  <si>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</si>
  <si>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</si>
  <si>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</si>
  <si>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</si>
  <si>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</si>
  <si>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</si>
  <si>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</si>
  <si>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</si>
  <si>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</si>
  <si>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</si>
  <si>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</si>
  <si>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</si>
  <si>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</si>
  <si>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</si>
  <si>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</si>
  <si>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</si>
  <si>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</si>
  <si>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</si>
  <si>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</si>
  <si>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</si>
  <si>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</si>
  <si>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</si>
  <si>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</si>
  <si>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</si>
  <si>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</si>
  <si>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</si>
  <si>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</si>
  <si>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</si>
  <si>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</si>
  <si>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</si>
  <si>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</si>
  <si>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</si>
  <si>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</si>
  <si>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</si>
  <si>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</si>
  <si>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</si>
  <si>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</si>
  <si>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</si>
  <si>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</si>
  <si>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</si>
  <si>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</si>
  <si>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</si>
  <si>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</si>
  <si>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</si>
  <si>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</si>
  <si>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</si>
  <si>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</si>
  <si>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</si>
  <si>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</si>
  <si>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</si>
  <si>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</si>
  <si>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</si>
  <si>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</si>
  <si>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</si>
  <si>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</si>
  <si>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</si>
  <si>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</si>
  <si>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</si>
  <si>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</si>
  <si>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</si>
  <si>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</si>
  <si>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</si>
  <si>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</si>
  <si>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</si>
  <si>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</si>
  <si>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</si>
  <si>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</si>
  <si>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</si>
  <si>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</si>
  <si>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</si>
  <si>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</si>
  <si>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</si>
  <si>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</si>
  <si>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</si>
  <si>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</si>
  <si>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</si>
  <si>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</si>
  <si>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</si>
  <si>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</si>
  <si>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</si>
  <si>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</si>
  <si>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</si>
  <si>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</si>
  <si>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</si>
  <si>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</si>
  <si>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</si>
  <si>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</si>
  <si>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</si>
  <si>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</si>
  <si>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</si>
  <si>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</si>
  <si>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</si>
  <si>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</si>
  <si>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</si>
  <si>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</si>
  <si>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</si>
  <si>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</si>
  <si>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</si>
  <si>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</si>
  <si>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</si>
  <si>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</si>
  <si>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</si>
  <si>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</si>
  <si>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</si>
  <si>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</si>
  <si>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</si>
  <si>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</si>
  <si>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</si>
  <si>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</si>
  <si>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</si>
  <si>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</si>
  <si>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</si>
  <si>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</si>
  <si>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</si>
  <si>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</si>
  <si>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</si>
  <si>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</si>
  <si>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</si>
  <si>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</si>
  <si>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</si>
  <si>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</si>
  <si>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</si>
  <si>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</si>
  <si>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</si>
  <si>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</si>
  <si>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</si>
  <si>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</si>
  <si>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</si>
  <si>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</si>
  <si>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</si>
  <si>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</si>
  <si>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</si>
  <si>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</si>
  <si>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</si>
  <si>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</si>
  <si>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</si>
  <si>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</si>
  <si>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</si>
  <si>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</si>
  <si>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</si>
  <si>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</si>
  <si>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</si>
  <si>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</si>
  <si>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</si>
  <si>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</si>
  <si>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</si>
  <si>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</si>
  <si>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</si>
  <si>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</si>
  <si>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</si>
  <si>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</si>
  <si>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</si>
  <si>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</si>
  <si>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</si>
  <si>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</si>
  <si>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</si>
  <si>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</si>
  <si>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</si>
  <si>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</si>
  <si>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</si>
  <si>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</si>
  <si>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</si>
  <si>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</si>
  <si>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</si>
  <si>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</si>
  <si>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</si>
  <si>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</si>
  <si>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</si>
  <si>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</si>
  <si>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</si>
  <si>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</si>
  <si>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</si>
  <si>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</si>
  <si>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</si>
  <si>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</si>
  <si>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</si>
  <si>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</si>
  <si>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</si>
  <si>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</si>
  <si>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</si>
  <si>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</si>
  <si>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</si>
  <si>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</si>
  <si>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</si>
  <si>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</si>
  <si>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</si>
  <si>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</si>
  <si>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</si>
  <si>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</si>
  <si>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</si>
  <si>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</si>
  <si>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</si>
  <si>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</si>
  <si>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</si>
  <si>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</si>
  <si>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</si>
  <si>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</si>
  <si>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</si>
  <si>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</si>
  <si>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</si>
  <si>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</si>
  <si>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</si>
  <si>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</si>
  <si>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</si>
  <si>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</si>
  <si>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</si>
  <si>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</si>
  <si>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</si>
  <si>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</si>
  <si>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</si>
  <si>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</si>
  <si>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</si>
  <si>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</si>
  <si>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</si>
  <si>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</si>
  <si>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</si>
  <si>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</si>
  <si>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</si>
  <si>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</si>
  <si>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</si>
  <si>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</si>
  <si>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</si>
  <si>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</si>
  <si>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</si>
  <si>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</si>
  <si>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</si>
  <si>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</si>
  <si>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</si>
  <si>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</si>
  <si>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</si>
  <si>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</si>
  <si>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</si>
  <si>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</si>
  <si>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</si>
  <si>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</si>
  <si>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</si>
  <si>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</si>
  <si>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</si>
  <si>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</si>
  <si>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</si>
  <si>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</si>
  <si>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</si>
  <si>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</si>
  <si>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</si>
  <si>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</si>
  <si>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</si>
  <si>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</si>
  <si>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</si>
  <si>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</si>
  <si>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</si>
  <si>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</si>
  <si>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</si>
  <si>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</si>
  <si>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</si>
  <si>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</si>
  <si>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</si>
  <si>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</si>
  <si>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</si>
  <si>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</si>
  <si>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</si>
  <si>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</si>
  <si>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</si>
  <si>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</si>
  <si>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</si>
  <si>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</si>
  <si>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</si>
  <si>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</si>
  <si>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</si>
  <si>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</si>
  <si>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</si>
  <si>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</si>
  <si>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</si>
  <si>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</si>
  <si>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</si>
  <si>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</si>
  <si>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</si>
  <si>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</si>
  <si>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</si>
  <si>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</si>
  <si>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</si>
  <si>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</si>
  <si>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</si>
  <si>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</si>
  <si>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</si>
  <si>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</si>
  <si>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</si>
  <si>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</si>
  <si>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</si>
  <si>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</si>
  <si>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</si>
  <si>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</si>
  <si>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</si>
  <si>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</si>
  <si>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</si>
  <si>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</si>
  <si>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</si>
  <si>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</si>
  <si>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</si>
  <si>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</si>
  <si>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</si>
  <si>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</si>
  <si>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</si>
  <si>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</si>
  <si>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</si>
  <si>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</si>
  <si>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</si>
  <si>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</si>
  <si>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</si>
  <si>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</si>
  <si>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</si>
  <si>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</si>
  <si>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</si>
  <si>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</si>
  <si>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</si>
  <si>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</si>
  <si>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</si>
  <si>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</si>
  <si>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</si>
  <si>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</si>
  <si>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</si>
  <si>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</si>
  <si>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</si>
  <si>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</si>
  <si>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</si>
  <si>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</si>
  <si>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</si>
  <si>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</si>
  <si>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</si>
  <si>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</si>
  <si>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</si>
  <si>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</si>
  <si>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</si>
  <si>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</si>
  <si>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</si>
  <si>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</si>
  <si>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</si>
  <si>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</si>
  <si>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</si>
  <si>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</si>
  <si>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</si>
  <si>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</si>
  <si>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</si>
  <si>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</si>
  <si>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</si>
  <si>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</si>
  <si>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</si>
  <si>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</si>
  <si>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</si>
  <si>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</si>
  <si>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</si>
  <si>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</si>
  <si>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</si>
  <si>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</si>
  <si>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</si>
  <si>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</si>
  <si>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</si>
  <si>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</si>
  <si>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</si>
  <si>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</si>
  <si>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</si>
  <si>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</si>
  <si>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</si>
  <si>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</si>
  <si>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</si>
  <si>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</si>
  <si>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</si>
  <si>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</si>
  <si>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</si>
  <si>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</si>
  <si>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</si>
  <si>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</si>
  <si>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</si>
  <si>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</si>
  <si>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</si>
  <si>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</si>
  <si>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</si>
  <si>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</si>
  <si>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</si>
  <si>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</si>
  <si>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</si>
  <si>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</si>
  <si>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</si>
  <si>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</si>
  <si>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</si>
  <si>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</si>
  <si>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</si>
  <si>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</si>
  <si>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</si>
  <si>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</si>
  <si>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</si>
  <si>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</si>
  <si>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</si>
  <si>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</si>
  <si>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</si>
  <si>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</si>
  <si>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</si>
  <si>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</si>
  <si>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</si>
  <si>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</si>
  <si>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</si>
  <si>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</si>
  <si>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</si>
  <si>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</si>
  <si>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</si>
  <si>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</si>
  <si>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</si>
  <si>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</si>
  <si>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</si>
  <si>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</si>
  <si>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</si>
  <si>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</si>
  <si>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</si>
  <si>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</si>
  <si>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</si>
  <si>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</si>
  <si>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</si>
  <si>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</si>
  <si>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</si>
  <si>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</si>
  <si>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</si>
  <si>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</si>
  <si>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</si>
  <si>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</si>
  <si>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</si>
  <si>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</si>
  <si>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</si>
  <si>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</si>
  <si>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</si>
  <si>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</si>
  <si>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</si>
  <si>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</si>
  <si>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</si>
  <si>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</si>
  <si>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</si>
  <si>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</si>
  <si>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</si>
  <si>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</si>
  <si>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</si>
  <si>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</si>
  <si>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</si>
  <si>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</si>
  <si>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</si>
  <si>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</si>
  <si>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</si>
  <si>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</si>
  <si>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</si>
  <si>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</si>
  <si>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</si>
  <si>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</si>
  <si>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</si>
  <si>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</si>
  <si>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</si>
  <si>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</si>
  <si>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</si>
  <si>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</si>
  <si>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</si>
  <si>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</si>
  <si>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</si>
  <si>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</si>
  <si>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</si>
  <si>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</si>
  <si>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</si>
  <si>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</si>
  <si>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</si>
  <si>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</si>
  <si>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</si>
  <si>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</si>
  <si>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</si>
  <si>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</si>
  <si>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</si>
  <si>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</si>
  <si>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</si>
  <si>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</si>
  <si>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</si>
  <si>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</si>
  <si>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</si>
  <si>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</si>
  <si>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</si>
  <si>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</si>
  <si>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</si>
  <si>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</si>
  <si>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</si>
  <si>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</si>
  <si>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</si>
  <si>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</si>
  <si>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</si>
  <si>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</si>
  <si>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</si>
  <si>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</si>
  <si>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</si>
  <si>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</si>
  <si>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</si>
  <si>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</si>
  <si>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</si>
  <si>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</si>
  <si>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</si>
  <si>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</si>
  <si>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</si>
  <si>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</si>
  <si>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SALES</t>
  </si>
  <si>
    <t xml:space="preserve">PROFIT </t>
  </si>
  <si>
    <t>QUANTITY</t>
  </si>
  <si>
    <t xml:space="preserve">TOTAL VALUES </t>
  </si>
  <si>
    <t>CY (Current Year)</t>
  </si>
  <si>
    <t xml:space="preserve">PY (Previous Year) </t>
  </si>
  <si>
    <t xml:space="preserve">YOY% (Year on Year Growth ) </t>
  </si>
  <si>
    <t xml:space="preserve">                                                                               KEY PERFORMANCE INDICATORS (KPI)</t>
  </si>
  <si>
    <t>SALES TREND</t>
  </si>
  <si>
    <t>Sales By State</t>
  </si>
  <si>
    <t>Count of Order ID</t>
  </si>
  <si>
    <t>ORDERS BY DURATION</t>
  </si>
  <si>
    <t xml:space="preserve">Top Selling Cities </t>
  </si>
  <si>
    <t xml:space="preserve">ORDERS BY SHIPPING CLASS </t>
  </si>
  <si>
    <t>TOP SELLING FURNITURE CATEGORY</t>
  </si>
  <si>
    <t>STATE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</si>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</sst>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quot;$&quot;0.0,,&quot;M&quot;;[&gt;=1000]&quot;$&quot;0.0,&quot;K&quot;;0"/>
    <numFmt numFmtId="165"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4" fillId="0" borderId="0" xfId="0" applyFont="1"/>
    <xf numFmtId="0" fontId="5" fillId="0" borderId="0" xfId="0" applyFont="1"/>
    <xf numFmtId="9" fontId="0" fillId="0" borderId="0" xfId="1" applyFont="1"/>
    <xf numFmtId="164" fontId="0" fillId="0" borderId="0" xfId="0" applyNumberFormat="1"/>
    <xf numFmtId="0" fontId="4" fillId="3" borderId="0" xfId="0" applyFont="1" applyFill="1"/>
    <xf numFmtId="0" fontId="0" fillId="3" borderId="0" xfId="0" applyFill="1"/>
    <xf numFmtId="0" fontId="2" fillId="3" borderId="0" xfId="0" applyFont="1" applyFill="1"/>
    <xf numFmtId="0" fontId="2" fillId="2" borderId="2" xfId="0" applyFont="1" applyFill="1" applyBorder="1"/>
    <xf numFmtId="0" fontId="2" fillId="0" borderId="1" xfId="0" applyFont="1" applyBorder="1"/>
    <xf numFmtId="165" fontId="0" fillId="0" borderId="0" xfId="0" applyNumberFormat="1"/>
    <xf numFmtId="10" fontId="0" fillId="0" borderId="0" xfId="0" applyNumberFormat="1"/>
    <xf numFmtId="9" fontId="0" fillId="0" borderId="0" xfId="0" applyNumberFormat="1"/>
    <xf numFmtId="0" fontId="2" fillId="0" borderId="0" xfId="0" applyFont="1"/>
    <xf numFmtId="0" fontId="2" fillId="0" borderId="2" xfId="0" applyFont="1" applyBorder="1"/>
  </cellXfs>
  <cellStyles count="2">
    <cellStyle name="Normal" xfId="0" builtinId="0"/>
    <cellStyle name="Percent" xfId="1" builtinId="5"/>
  </cellStyles>
  <dxfs count="28">
    <dxf>
      <numFmt numFmtId="164" formatCode="[&gt;=1000000]&quot;$&quot;0.0,,&quot;M&quot;;[&gt;=1000]&quot;$&quot;0.0,&quot;K&quot;;0"/>
    </dxf>
    <dxf>
      <numFmt numFmtId="13" formatCode="0%"/>
    </dxf>
    <dxf>
      <numFmt numFmtId="14" formatCode="0.0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164" formatCode="[&gt;=1000000]&quot;$&quot;0.0,,&quot;M&quot;;[&gt;=1000]&quot;$&quot;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color rgb="FFB0E7EE"/>
      </font>
    </dxf>
    <dxf>
      <font>
        <color rgb="FFCCDCE8"/>
      </font>
    </dxf>
    <dxf>
      <font>
        <color rgb="FFCCDCE8"/>
      </font>
    </dxf>
  </dxfs>
  <tableStyles count="4" defaultTableStyle="TableStyleMedium2" defaultPivotStyle="PivotStyleLight16">
    <tableStyle name="Slicer Style 1" pivot="0" table="0" count="1" xr9:uid="{216F60F7-5405-4F88-B1DE-7A1B908ED018}">
      <tableStyleElement type="wholeTable" dxfId="27"/>
    </tableStyle>
    <tableStyle name="Slicer Style 2" pivot="0" table="0" count="1" xr9:uid="{94B5BDCF-9C1E-4FC3-9131-627FB7CDD33A}">
      <tableStyleElement type="wholeTable" dxfId="26"/>
    </tableStyle>
    <tableStyle name="Slicer Style 3" pivot="0" table="0" count="1" xr9:uid="{CCAA49B7-2BC6-4882-B2F7-970BF5E6C758}">
      <tableStyleElement type="wholeTable" dxfId="25"/>
    </tableStyle>
    <tableStyle name="Slicer Style 4" pivot="0" table="0" count="1" xr9:uid="{0FACBE67-2845-46D6-ABD0-C5CAC67F7BF1}"/>
  </tableStyles>
  <colors>
    <mruColors>
      <color rgb="FF2C4B62"/>
      <color rgb="FF325772"/>
      <color rgb="FF85ACC9"/>
      <color rgb="FF47799F"/>
      <color rgb="FF84AAC6"/>
      <color rgb="FF457395"/>
      <color rgb="FFE77EBA"/>
      <color rgb="FF622347"/>
      <color rgb="FFCCDCE8"/>
      <color rgb="FFB0E7EE"/>
    </mruColors>
  </colors>
  <extLst>
    <ext xmlns:x14="http://schemas.microsoft.com/office/spreadsheetml/2009/9/main" uri="{46F421CA-312F-682f-3DD2-61675219B42D}">
      <x14:dxfs count="1">
        <dxf>
          <font>
            <color rgb="FFCCDCE8"/>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Store Analysis.xlsx]Calculations !PivotTable3</c:name>
    <c:fmtId val="13"/>
  </c:pivotSource>
  <c:chart>
    <c:autoTitleDeleted val="1"/>
    <c:pivotFmts>
      <c:pivotFmt>
        <c:idx val="0"/>
        <c:spPr>
          <a:solidFill>
            <a:schemeClr val="accent1"/>
          </a:solidFill>
          <a:ln w="19050" cap="rnd">
            <a:solidFill>
              <a:srgbClr val="385F7C"/>
            </a:solidFill>
            <a:prstDash val="sysDot"/>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85F7C"/>
            </a:solidFill>
            <a:prstDash val="sysDot"/>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385F7C"/>
            </a:solidFill>
            <a:prstDash val="sysDot"/>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'!$C$23</c:f>
              <c:strCache>
                <c:ptCount val="1"/>
                <c:pt idx="0">
                  <c:v>Total</c:v>
                </c:pt>
              </c:strCache>
            </c:strRef>
          </c:tx>
          <c:spPr>
            <a:ln w="19050" cap="rnd">
              <a:solidFill>
                <a:srgbClr val="385F7C"/>
              </a:solidFill>
              <a:prstDash val="sysDot"/>
              <a:round/>
            </a:ln>
            <a:effectLst/>
          </c:spPr>
          <c:marker>
            <c:symbol val="circle"/>
            <c:size val="5"/>
            <c:spPr>
              <a:solidFill>
                <a:schemeClr val="accent1"/>
              </a:solidFill>
              <a:ln w="9525">
                <a:noFill/>
              </a:ln>
              <a:effectLst/>
            </c:spPr>
          </c:marker>
          <c:cat>
            <c:strRef>
              <c:f>'Calculations '!$B$24:$B$36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 '!$C$24:$C$36</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CF56-49F2-8B33-9A3EC697726B}"/>
            </c:ext>
          </c:extLst>
        </c:ser>
        <c:dLbls>
          <c:showLegendKey val="0"/>
          <c:showVal val="0"/>
          <c:showCatName val="0"/>
          <c:showSerName val="0"/>
          <c:showPercent val="0"/>
          <c:showBubbleSize val="0"/>
        </c:dLbls>
        <c:marker val="1"/>
        <c:smooth val="0"/>
        <c:axId val="622518752"/>
        <c:axId val="622524152"/>
      </c:lineChart>
      <c:catAx>
        <c:axId val="6225187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2524152"/>
        <c:crosses val="autoZero"/>
        <c:auto val="1"/>
        <c:lblAlgn val="ctr"/>
        <c:lblOffset val="100"/>
        <c:noMultiLvlLbl val="0"/>
      </c:catAx>
      <c:valAx>
        <c:axId val="622524152"/>
        <c:scaling>
          <c:orientation val="minMax"/>
        </c:scaling>
        <c:delete val="1"/>
        <c:axPos val="l"/>
        <c:numFmt formatCode="[&gt;=1000000]&quot;$&quot;0.0,,&quot;M&quot;;[&gt;=1000]&quot;$&quot;0.0,&quot;K&quot;;0" sourceLinked="1"/>
        <c:majorTickMark val="none"/>
        <c:minorTickMark val="none"/>
        <c:tickLblPos val="nextTo"/>
        <c:crossAx val="62251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Store Analysis.xlsx]Calculations !PivotTable4</c:name>
    <c:fmtId val="6"/>
  </c:pivotSource>
  <c:chart>
    <c:autoTitleDeleted val="1"/>
    <c:pivotFmts>
      <c:pivotFmt>
        <c:idx val="0"/>
        <c:spPr>
          <a:solidFill>
            <a:schemeClr val="accent1"/>
          </a:solidFill>
          <a:ln w="28575" cap="rnd">
            <a:noFill/>
            <a:round/>
          </a:ln>
          <a:effectLst/>
        </c:spPr>
        <c:marker>
          <c:symbol val="circle"/>
          <c:size val="8"/>
          <c:spPr>
            <a:solidFill>
              <a:schemeClr val="accent1"/>
            </a:solidFill>
            <a:ln w="31750">
              <a:solidFill>
                <a:srgbClr val="385F7C"/>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chemeClr val="accent1"/>
            </a:solidFill>
            <a:ln w="31750">
              <a:solidFill>
                <a:srgbClr val="385F7C"/>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chemeClr val="accent1"/>
            </a:solidFill>
            <a:ln w="31750">
              <a:solidFill>
                <a:srgbClr val="385F7C"/>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1007398350572E-3"/>
          <c:y val="5.5549548703375452E-2"/>
          <c:w val="0.97018363564434162"/>
          <c:h val="0.84167466670161561"/>
        </c:manualLayout>
      </c:layout>
      <c:lineChart>
        <c:grouping val="standard"/>
        <c:varyColors val="0"/>
        <c:ser>
          <c:idx val="0"/>
          <c:order val="0"/>
          <c:tx>
            <c:strRef>
              <c:f>'Calculations '!$K$35</c:f>
              <c:strCache>
                <c:ptCount val="1"/>
                <c:pt idx="0">
                  <c:v>Total</c:v>
                </c:pt>
              </c:strCache>
            </c:strRef>
          </c:tx>
          <c:spPr>
            <a:ln w="28575" cap="rnd">
              <a:noFill/>
              <a:round/>
            </a:ln>
            <a:effectLst/>
          </c:spPr>
          <c:marker>
            <c:symbol val="circle"/>
            <c:size val="8"/>
            <c:spPr>
              <a:solidFill>
                <a:schemeClr val="accent1"/>
              </a:solidFill>
              <a:ln w="31750">
                <a:solidFill>
                  <a:srgbClr val="385F7C"/>
                </a:solidFill>
                <a:prstDash val="sysDash"/>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'!$J$36:$J$44</c:f>
              <c:strCache>
                <c:ptCount val="8"/>
                <c:pt idx="0">
                  <c:v>0-days</c:v>
                </c:pt>
                <c:pt idx="1">
                  <c:v>1-days</c:v>
                </c:pt>
                <c:pt idx="2">
                  <c:v>2-days</c:v>
                </c:pt>
                <c:pt idx="3">
                  <c:v>3-days</c:v>
                </c:pt>
                <c:pt idx="4">
                  <c:v>4-days</c:v>
                </c:pt>
                <c:pt idx="5">
                  <c:v>5-days</c:v>
                </c:pt>
                <c:pt idx="6">
                  <c:v>6-days</c:v>
                </c:pt>
                <c:pt idx="7">
                  <c:v>7-days</c:v>
                </c:pt>
              </c:strCache>
            </c:strRef>
          </c:cat>
          <c:val>
            <c:numRef>
              <c:f>'Calculations '!$K$36:$K$44</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60DA-490C-B8B7-BFF4E2533193}"/>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670234112"/>
        <c:axId val="670234472"/>
      </c:lineChart>
      <c:catAx>
        <c:axId val="6702341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70234472"/>
        <c:crosses val="autoZero"/>
        <c:auto val="1"/>
        <c:lblAlgn val="ctr"/>
        <c:lblOffset val="100"/>
        <c:noMultiLvlLbl val="0"/>
      </c:catAx>
      <c:valAx>
        <c:axId val="670234472"/>
        <c:scaling>
          <c:orientation val="minMax"/>
        </c:scaling>
        <c:delete val="1"/>
        <c:axPos val="l"/>
        <c:numFmt formatCode="0%" sourceLinked="1"/>
        <c:majorTickMark val="out"/>
        <c:minorTickMark val="none"/>
        <c:tickLblPos val="nextTo"/>
        <c:crossAx val="67023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'Calculations '!$L$22:$L$26</c:f>
              <c:strCache>
                <c:ptCount val="5"/>
                <c:pt idx="0">
                  <c:v>Los Angeles</c:v>
                </c:pt>
                <c:pt idx="1">
                  <c:v>New York City</c:v>
                </c:pt>
                <c:pt idx="2">
                  <c:v>Philadelphia</c:v>
                </c:pt>
                <c:pt idx="3">
                  <c:v>San Francisco</c:v>
                </c:pt>
                <c:pt idx="4">
                  <c:v>Seattle</c:v>
                </c:pt>
              </c:strCache>
            </c:strRef>
          </c:cat>
          <c:val>
            <c:numRef>
              <c:f>'Calculations '!$M$22:$M$26</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A170-4704-9886-EAE56974B8FC}"/>
            </c:ext>
          </c:extLst>
        </c:ser>
        <c:ser>
          <c:idx val="1"/>
          <c:order val="1"/>
          <c:spPr>
            <a:solidFill>
              <a:srgbClr val="CCDCE8">
                <a:alpha val="41000"/>
              </a:srgbClr>
            </a:solidFill>
            <a:ln>
              <a:noFill/>
            </a:ln>
            <a:effectLst/>
          </c:spPr>
          <c:invertIfNegative val="0"/>
          <c:dLbls>
            <c:dLbl>
              <c:idx val="0"/>
              <c:tx>
                <c:rich>
                  <a:bodyPr/>
                  <a:lstStyle/>
                  <a:p>
                    <a:fld id="{D3947CFD-E09B-48AB-BAA2-695F4E72117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170-4704-9886-EAE56974B8FC}"/>
                </c:ext>
              </c:extLst>
            </c:dLbl>
            <c:dLbl>
              <c:idx val="1"/>
              <c:tx>
                <c:rich>
                  <a:bodyPr/>
                  <a:lstStyle/>
                  <a:p>
                    <a:fld id="{12E7A101-90F2-4A8A-8C82-75A590EAB9B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170-4704-9886-EAE56974B8FC}"/>
                </c:ext>
              </c:extLst>
            </c:dLbl>
            <c:dLbl>
              <c:idx val="2"/>
              <c:tx>
                <c:rich>
                  <a:bodyPr/>
                  <a:lstStyle/>
                  <a:p>
                    <a:fld id="{9D2EF681-CFE9-472E-AA24-F10EEC130F1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170-4704-9886-EAE56974B8FC}"/>
                </c:ext>
              </c:extLst>
            </c:dLbl>
            <c:dLbl>
              <c:idx val="3"/>
              <c:tx>
                <c:rich>
                  <a:bodyPr/>
                  <a:lstStyle/>
                  <a:p>
                    <a:fld id="{43909399-8F53-4979-BD0B-DA64C7596A6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170-4704-9886-EAE56974B8FC}"/>
                </c:ext>
              </c:extLst>
            </c:dLbl>
            <c:dLbl>
              <c:idx val="4"/>
              <c:tx>
                <c:rich>
                  <a:bodyPr/>
                  <a:lstStyle/>
                  <a:p>
                    <a:fld id="{32D81C5A-58B0-4F7C-AA40-81EE0AED135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170-4704-9886-EAE56974B8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 '!$L$22:$L$26</c:f>
              <c:strCache>
                <c:ptCount val="5"/>
                <c:pt idx="0">
                  <c:v>Los Angeles</c:v>
                </c:pt>
                <c:pt idx="1">
                  <c:v>New York City</c:v>
                </c:pt>
                <c:pt idx="2">
                  <c:v>Philadelphia</c:v>
                </c:pt>
                <c:pt idx="3">
                  <c:v>San Francisco</c:v>
                </c:pt>
                <c:pt idx="4">
                  <c:v>Seattle</c:v>
                </c:pt>
              </c:strCache>
            </c:strRef>
          </c:cat>
          <c:val>
            <c:numRef>
              <c:f>'Calculations '!$N$22:$N$26</c:f>
              <c:numCache>
                <c:formatCode>"$"#,##0.00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'Calculations '!$M$22:$M$26</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A170-4704-9886-EAE56974B8FC}"/>
            </c:ext>
          </c:extLst>
        </c:ser>
        <c:dLbls>
          <c:showLegendKey val="0"/>
          <c:showVal val="0"/>
          <c:showCatName val="0"/>
          <c:showSerName val="0"/>
          <c:showPercent val="0"/>
          <c:showBubbleSize val="0"/>
        </c:dLbls>
        <c:gapWidth val="150"/>
        <c:overlap val="100"/>
        <c:axId val="1199601112"/>
        <c:axId val="1199602552"/>
      </c:barChart>
      <c:catAx>
        <c:axId val="1199601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02552"/>
        <c:crosses val="autoZero"/>
        <c:auto val="1"/>
        <c:lblAlgn val="ctr"/>
        <c:lblOffset val="100"/>
        <c:noMultiLvlLbl val="0"/>
      </c:catAx>
      <c:valAx>
        <c:axId val="1199602552"/>
        <c:scaling>
          <c:orientation val="minMax"/>
        </c:scaling>
        <c:delete val="1"/>
        <c:axPos val="b"/>
        <c:numFmt formatCode="[&gt;=1000000]&quot;$&quot;0.0,,&quot;M&quot;;[&gt;=1000]&quot;$&quot;0.0,&quot;K&quot;;0" sourceLinked="1"/>
        <c:majorTickMark val="out"/>
        <c:minorTickMark val="none"/>
        <c:tickLblPos val="nextTo"/>
        <c:crossAx val="1199601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Store Analysis.xlsx]Calculations !PivotTable7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dLbl>
          <c:idx val="0"/>
          <c:layout>
            <c:manualLayout>
              <c:x val="8.0555555555555561E-2"/>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5F7C">
              <a:alpha val="65000"/>
            </a:srgbClr>
          </a:solidFill>
          <a:ln w="19050">
            <a:solidFill>
              <a:schemeClr val="lt1"/>
            </a:solidFill>
          </a:ln>
          <a:effectLst/>
        </c:spPr>
        <c:dLbl>
          <c:idx val="0"/>
          <c:layout>
            <c:manualLayout>
              <c:x val="-0.12777777777777782"/>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alpha val="92000"/>
            </a:schemeClr>
          </a:solidFill>
          <a:ln w="19050">
            <a:solidFill>
              <a:schemeClr val="lt1"/>
            </a:solidFill>
          </a:ln>
          <a:effectLst/>
        </c:spPr>
        <c:dLbl>
          <c:idx val="0"/>
          <c:layout>
            <c:manualLayout>
              <c:x val="-0.1388888888888889"/>
              <c:y val="7.870370370370370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19050">
            <a:solidFill>
              <a:schemeClr val="lt1"/>
            </a:solidFill>
          </a:ln>
          <a:effectLst/>
        </c:spPr>
        <c:dLbl>
          <c:idx val="0"/>
          <c:layout>
            <c:manualLayout>
              <c:x val="-0.127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alpha val="92000"/>
            </a:schemeClr>
          </a:solidFill>
          <a:ln w="19050">
            <a:solidFill>
              <a:schemeClr val="lt1"/>
            </a:solidFill>
          </a:ln>
          <a:effectLst/>
        </c:spPr>
        <c:dLbl>
          <c:idx val="0"/>
          <c:layout>
            <c:manualLayout>
              <c:x val="-0.1388888888888889"/>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dLbl>
          <c:idx val="0"/>
          <c:layout>
            <c:manualLayout>
              <c:x val="-0.127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85F7C">
              <a:alpha val="65000"/>
            </a:srgbClr>
          </a:solidFill>
          <a:ln w="19050">
            <a:solidFill>
              <a:schemeClr val="lt1"/>
            </a:solidFill>
          </a:ln>
          <a:effectLst/>
        </c:spPr>
        <c:dLbl>
          <c:idx val="0"/>
          <c:layout>
            <c:manualLayout>
              <c:x val="-0.12777777777777782"/>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5F7C"/>
          </a:solidFill>
          <a:ln w="19050">
            <a:solidFill>
              <a:schemeClr val="lt1"/>
            </a:solidFill>
          </a:ln>
          <a:effectLst/>
        </c:spPr>
        <c:dLbl>
          <c:idx val="0"/>
          <c:layout>
            <c:manualLayout>
              <c:x val="8.0555555555555561E-2"/>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alpha val="92000"/>
            </a:schemeClr>
          </a:solidFill>
          <a:ln w="19050">
            <a:solidFill>
              <a:schemeClr val="lt1"/>
            </a:solidFill>
          </a:ln>
          <a:effectLst/>
        </c:spPr>
        <c:dLbl>
          <c:idx val="0"/>
          <c:layout>
            <c:manualLayout>
              <c:x val="-0.1388888888888889"/>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w="19050">
            <a:solidFill>
              <a:schemeClr val="lt1"/>
            </a:solidFill>
          </a:ln>
          <a:effectLst/>
        </c:spPr>
        <c:dLbl>
          <c:idx val="0"/>
          <c:layout>
            <c:manualLayout>
              <c:x val="-0.127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85F7C">
              <a:alpha val="65000"/>
            </a:srgbClr>
          </a:solidFill>
          <a:ln w="19050">
            <a:solidFill>
              <a:schemeClr val="lt1"/>
            </a:solidFill>
          </a:ln>
          <a:effectLst/>
        </c:spPr>
        <c:dLbl>
          <c:idx val="0"/>
          <c:layout>
            <c:manualLayout>
              <c:x val="-0.12777777777777782"/>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F7C"/>
          </a:solidFill>
          <a:ln w="19050">
            <a:solidFill>
              <a:schemeClr val="lt1"/>
            </a:solidFill>
          </a:ln>
          <a:effectLst/>
        </c:spPr>
        <c:dLbl>
          <c:idx val="0"/>
          <c:layout>
            <c:manualLayout>
              <c:x val="8.0555555555555561E-2"/>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2">
              <a:lumMod val="75000"/>
              <a:alpha val="92000"/>
            </a:schemeClr>
          </a:solidFill>
          <a:ln w="19050">
            <a:solidFill>
              <a:schemeClr val="lt1"/>
            </a:solidFill>
          </a:ln>
          <a:effectLst/>
        </c:spPr>
        <c:dLbl>
          <c:idx val="0"/>
          <c:layout>
            <c:manualLayout>
              <c:x val="-0.1388888888888889"/>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40000"/>
              <a:lumOff val="60000"/>
            </a:schemeClr>
          </a:solidFill>
          <a:ln w="19050">
            <a:solidFill>
              <a:schemeClr val="lt1"/>
            </a:solidFill>
          </a:ln>
          <a:effectLst/>
        </c:spPr>
        <c:dLbl>
          <c:idx val="0"/>
          <c:layout>
            <c:manualLayout>
              <c:x val="-0.1277777777777777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85F7C">
              <a:alpha val="65000"/>
            </a:srgbClr>
          </a:solidFill>
          <a:ln w="19050">
            <a:solidFill>
              <a:schemeClr val="lt1"/>
            </a:solidFill>
          </a:ln>
          <a:effectLst/>
        </c:spPr>
        <c:dLbl>
          <c:idx val="0"/>
          <c:layout>
            <c:manualLayout>
              <c:x val="-0.12777777777777782"/>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85F7C"/>
          </a:solidFill>
          <a:ln w="19050">
            <a:solidFill>
              <a:schemeClr val="lt1"/>
            </a:solidFill>
          </a:ln>
          <a:effectLst/>
        </c:spPr>
        <c:dLbl>
          <c:idx val="0"/>
          <c:layout>
            <c:manualLayout>
              <c:x val="8.0555555555555561E-2"/>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2">
              <a:lumMod val="75000"/>
              <a:alpha val="92000"/>
            </a:schemeClr>
          </a:solidFill>
          <a:ln w="19050">
            <a:solidFill>
              <a:schemeClr val="lt1"/>
            </a:solidFill>
          </a:ln>
          <a:effectLst/>
        </c:spPr>
        <c:dLbl>
          <c:idx val="0"/>
          <c:layout>
            <c:manualLayout>
              <c:x val="-0.1038596860279226"/>
              <c:y val="7.87037949563074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40000"/>
              <a:lumOff val="60000"/>
            </a:schemeClr>
          </a:solidFill>
          <a:ln w="19050">
            <a:solidFill>
              <a:schemeClr val="lt1"/>
            </a:solidFill>
          </a:ln>
          <a:effectLst/>
        </c:spPr>
        <c:dLbl>
          <c:idx val="0"/>
          <c:layout>
            <c:manualLayout>
              <c:x val="-0.10208965345535147"/>
              <c:y val="-2.77779513802922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85F7C">
              <a:alpha val="65000"/>
            </a:srgbClr>
          </a:solidFill>
          <a:ln w="19050">
            <a:solidFill>
              <a:schemeClr val="lt1"/>
            </a:solidFill>
          </a:ln>
          <a:effectLst/>
        </c:spPr>
        <c:dLbl>
          <c:idx val="0"/>
          <c:layout>
            <c:manualLayout>
              <c:x val="-9.2748529968273277E-2"/>
              <c:y val="-2.54323944535438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385F7C"/>
          </a:solidFill>
          <a:ln w="19050">
            <a:solidFill>
              <a:schemeClr val="lt1"/>
            </a:solidFill>
          </a:ln>
          <a:effectLst/>
        </c:spPr>
        <c:dLbl>
          <c:idx val="0"/>
          <c:layout>
            <c:manualLayout>
              <c:x val="8.0555555555555561E-2"/>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 '!$K$51</c:f>
              <c:strCache>
                <c:ptCount val="1"/>
                <c:pt idx="0">
                  <c:v>Total</c:v>
                </c:pt>
              </c:strCache>
            </c:strRef>
          </c:tx>
          <c:dPt>
            <c:idx val="0"/>
            <c:bubble3D val="0"/>
            <c:spPr>
              <a:solidFill>
                <a:schemeClr val="bg2">
                  <a:lumMod val="75000"/>
                  <a:alpha val="92000"/>
                </a:schemeClr>
              </a:solidFill>
              <a:ln w="19050">
                <a:solidFill>
                  <a:schemeClr val="lt1"/>
                </a:solidFill>
              </a:ln>
              <a:effectLst/>
            </c:spPr>
            <c:extLst>
              <c:ext xmlns:c16="http://schemas.microsoft.com/office/drawing/2014/chart" uri="{C3380CC4-5D6E-409C-BE32-E72D297353CC}">
                <c16:uniqueId val="{00000001-6E0B-4AEF-AFC2-D8500D548E4F}"/>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6E0B-4AEF-AFC2-D8500D548E4F}"/>
              </c:ext>
            </c:extLst>
          </c:dPt>
          <c:dPt>
            <c:idx val="2"/>
            <c:bubble3D val="0"/>
            <c:spPr>
              <a:solidFill>
                <a:srgbClr val="385F7C">
                  <a:alpha val="65000"/>
                </a:srgbClr>
              </a:solidFill>
              <a:ln w="19050">
                <a:solidFill>
                  <a:schemeClr val="lt1"/>
                </a:solidFill>
              </a:ln>
              <a:effectLst/>
            </c:spPr>
            <c:extLst>
              <c:ext xmlns:c16="http://schemas.microsoft.com/office/drawing/2014/chart" uri="{C3380CC4-5D6E-409C-BE32-E72D297353CC}">
                <c16:uniqueId val="{00000005-6E0B-4AEF-AFC2-D8500D548E4F}"/>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7-6E0B-4AEF-AFC2-D8500D548E4F}"/>
              </c:ext>
            </c:extLst>
          </c:dPt>
          <c:dLbls>
            <c:dLbl>
              <c:idx val="0"/>
              <c:layout>
                <c:manualLayout>
                  <c:x val="-0.1038596860279226"/>
                  <c:y val="7.8703794956307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0B-4AEF-AFC2-D8500D548E4F}"/>
                </c:ext>
              </c:extLst>
            </c:dLbl>
            <c:dLbl>
              <c:idx val="1"/>
              <c:layout>
                <c:manualLayout>
                  <c:x val="-0.10208965345535147"/>
                  <c:y val="-2.77779513802922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0B-4AEF-AFC2-D8500D548E4F}"/>
                </c:ext>
              </c:extLst>
            </c:dLbl>
            <c:dLbl>
              <c:idx val="2"/>
              <c:layout>
                <c:manualLayout>
                  <c:x val="-9.2748529968273277E-2"/>
                  <c:y val="-2.5432394453543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0B-4AEF-AFC2-D8500D548E4F}"/>
                </c:ext>
              </c:extLst>
            </c:dLbl>
            <c:dLbl>
              <c:idx val="3"/>
              <c:layout>
                <c:manualLayout>
                  <c:x val="8.0555555555555561E-2"/>
                  <c:y val="0.13888888888888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0B-4AEF-AFC2-D8500D548E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'Calculations '!$J$52:$J$56</c:f>
              <c:strCache>
                <c:ptCount val="4"/>
                <c:pt idx="0">
                  <c:v>First Class</c:v>
                </c:pt>
                <c:pt idx="1">
                  <c:v>Same Day</c:v>
                </c:pt>
                <c:pt idx="2">
                  <c:v>Second Class</c:v>
                </c:pt>
                <c:pt idx="3">
                  <c:v>Standard Class</c:v>
                </c:pt>
              </c:strCache>
            </c:strRef>
          </c:cat>
          <c:val>
            <c:numRef>
              <c:f>'Calculations '!$K$52:$K$56</c:f>
              <c:numCache>
                <c:formatCode>0.00%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6E0B-4AEF-AFC2-D8500D548E4F}"/>
            </c:ext>
          </c:extLst>
        </c:ser>
        <c:dLbls>
          <c:showLegendKey val="0"/>
          <c:showVal val="1"/>
          <c:showCatName val="0"/>
          <c:showSerName val="0"/>
          <c:showPercent val="0"/>
          <c:showBubbleSize val="0"/>
          <c:showLeaderLines val="1"/>
        </c:dLbls>
        <c:firstSliceAng val="211"/>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'Calculations '!$L$64:$L$67</c:f>
              <c:strCache>
                <c:ptCount val="4"/>
                <c:pt idx="0">
                  <c:v>Bookcases</c:v>
                </c:pt>
                <c:pt idx="1">
                  <c:v>Chairs</c:v>
                </c:pt>
                <c:pt idx="2">
                  <c:v>Furnishings</c:v>
                </c:pt>
                <c:pt idx="3">
                  <c:v>Tables</c:v>
                </c:pt>
              </c:strCache>
            </c:strRef>
          </c:cat>
          <c:val>
            <c:numRef>
              <c:f>'Calculations '!$M$64:$M$67</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F97C-46AB-9F62-44488B0F139C}"/>
            </c:ext>
          </c:extLst>
        </c:ser>
        <c:ser>
          <c:idx val="1"/>
          <c:order val="1"/>
          <c:spPr>
            <a:solidFill>
              <a:srgbClr val="F0F4F6">
                <a:alpha val="97000"/>
              </a:srgbClr>
            </a:solidFill>
            <a:ln>
              <a:noFill/>
            </a:ln>
            <a:effectLst/>
          </c:spPr>
          <c:invertIfNegative val="0"/>
          <c:dLbls>
            <c:dLbl>
              <c:idx val="0"/>
              <c:tx>
                <c:rich>
                  <a:bodyPr/>
                  <a:lstStyle/>
                  <a:p>
                    <a:fld id="{77A402B4-D096-4E7F-9867-4E31BA9E9DF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97C-46AB-9F62-44488B0F139C}"/>
                </c:ext>
              </c:extLst>
            </c:dLbl>
            <c:dLbl>
              <c:idx val="1"/>
              <c:tx>
                <c:rich>
                  <a:bodyPr/>
                  <a:lstStyle/>
                  <a:p>
                    <a:fld id="{0E1808FE-B816-4D8F-8943-30066DADE60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97C-46AB-9F62-44488B0F139C}"/>
                </c:ext>
              </c:extLst>
            </c:dLbl>
            <c:dLbl>
              <c:idx val="2"/>
              <c:tx>
                <c:rich>
                  <a:bodyPr/>
                  <a:lstStyle/>
                  <a:p>
                    <a:fld id="{BE59908A-7A2F-4A9C-931B-3E1DBC507EA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97C-46AB-9F62-44488B0F139C}"/>
                </c:ext>
              </c:extLst>
            </c:dLbl>
            <c:dLbl>
              <c:idx val="3"/>
              <c:tx>
                <c:rich>
                  <a:bodyPr/>
                  <a:lstStyle/>
                  <a:p>
                    <a:fld id="{7A9D0FF9-889E-4F6D-9875-4D25E9C9CAD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97C-46AB-9F62-44488B0F13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 '!$L$64:$L$67</c:f>
              <c:strCache>
                <c:ptCount val="4"/>
                <c:pt idx="0">
                  <c:v>Bookcases</c:v>
                </c:pt>
                <c:pt idx="1">
                  <c:v>Chairs</c:v>
                </c:pt>
                <c:pt idx="2">
                  <c:v>Furnishings</c:v>
                </c:pt>
                <c:pt idx="3">
                  <c:v>Tables</c:v>
                </c:pt>
              </c:strCache>
            </c:strRef>
          </c:cat>
          <c:val>
            <c:numRef>
              <c:f>'Calculations '!$N$64:$N$67</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'Calculations '!$M$64:$M$67</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5-F97C-46AB-9F62-44488B0F139C}"/>
            </c:ext>
          </c:extLst>
        </c:ser>
        <c:dLbls>
          <c:showLegendKey val="0"/>
          <c:showVal val="0"/>
          <c:showCatName val="0"/>
          <c:showSerName val="0"/>
          <c:showPercent val="0"/>
          <c:showBubbleSize val="0"/>
        </c:dLbls>
        <c:gapWidth val="150"/>
        <c:overlap val="100"/>
        <c:axId val="1958804024"/>
        <c:axId val="1958806184"/>
      </c:barChart>
      <c:catAx>
        <c:axId val="1958804024"/>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806184"/>
        <c:crosses val="autoZero"/>
        <c:auto val="1"/>
        <c:lblAlgn val="ctr"/>
        <c:lblOffset val="100"/>
        <c:noMultiLvlLbl val="0"/>
      </c:catAx>
      <c:valAx>
        <c:axId val="1958806184"/>
        <c:scaling>
          <c:orientation val="maxMin"/>
        </c:scaling>
        <c:delete val="1"/>
        <c:axPos val="b"/>
        <c:numFmt formatCode="[&gt;=1000000]&quot;$&quot;0.0,,&quot;M&quot;;[&gt;=1000]&quot;$&quot;0.0,&quot;K&quot;;0" sourceLinked="1"/>
        <c:majorTickMark val="out"/>
        <c:minorTickMark val="none"/>
        <c:tickLblPos val="nextTo"/>
        <c:crossAx val="19588040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1DD37C0-B606-4E8E-AF17-F6E43CE4E486}">
          <cx:tx>
            <cx:txData>
              <cx:f>_xlchart.v5.2</cx:f>
              <cx:v>SALES</cx:v>
            </cx:txData>
          </cx:tx>
          <cx:spPr>
            <a:solidFill>
              <a:schemeClr val="tx1">
                <a:lumMod val="50000"/>
                <a:lumOff val="50000"/>
              </a:schemeClr>
            </a:solidFill>
          </cx:spPr>
          <cx:dataId val="0"/>
          <cx:layoutPr>
            <cx:geography cultureLanguage="en-US" cultureRegion="NG" attribution="Powered by Bing">
              <cx:geoCache provider="{E9337A44-BEBE-4D9F-B70C-5C5E7DAFC167}">
                <cx:binary>7H1pb9y40u5fCfL5ysNNXA7OHOBI6s1rHDv2JF+EjuNopah9+/Vvtd12bKWdeN7xxUUDtyeYJO5m
k+LDKj71VJH5903/r5v0dl2+63WaVf+66f98H9Z1/q8//qhuwlu9rg50dFOaynyvD26M/sN8/x7d
3P7xrVx3URb8QRBmf9yE67K+7d//59/wbcGtOTY36zoy2XlzWw4fb6smratfvLfzrXfrbzrKvKiq
y+imxn++927Tdbcub9+/u83qqB4uh/z2z/fPPvX+3R/T7/qp33cpDK1uvkFbqg4QkoITaqv71/t3
qcmC7duWsA8Yl5xRLO/fth/6Pl1raP+aEd2NZ/3tW3lbVfBId78/bfls/PDG7P27G9Nk9WbeApjC
P99/yqL69tu7i3pd31bv30WVce8/4JrNQ3y6uHvqP57P/H/+PfkBzMPkJ0/AmU7a7976CZv/puuv
a71+mJ43gIYcCM4ZIUQ8x0TyA8kQpQSRR8zu18M9Jq8YyW5IHhtOEPnv8X4iUibrrFrDgnkza2EH
YAYSUby1FvkcGUUOGFXYtm2J7l4Ta/nvK0b0AjSPLafYfNxTbKLRZG9pLeyAKEqIxOzeKCZGgzE+
AGuyFbf5HTT4YVlsjab87YBeQmbbcArMl70E5npdhbCp1SZ7mJ9/7smYOGAYU1tIsRsbgg5smzOJ
GN6FzevGtBuep20nCF3/dy8Rctdp9N2UWfSW1iMOiM04V1jdOy6wjqc0AGN1wLEgAjN8D+HD6ri3
nteNaTdCT9tOEHL3E6HT2+7dyW0f3ZiHWfrnNkTZASOYAgD37gvRCUKIH2AkqUISsHtKB143mt3Y
PG07web0ZD+tx6SmXH97S2TkAXAC20aM7LYdZB/YTEjKAbKnwLivGMpuWH60nIDinu0pKFl2e1NH
N039MEX/3GIYPrCFjW1K7Z24CODXVAJhIBOW5ppXjeYlaJ40nqJzuZfoXN2W2mRviQw7QMIm8N/E
iQEknBOuOPixu9cEmVeMZDcqjw0niFztJyIPksA78/0d+IJGf31TMgAODYHDwpQ932OEOECYE8Xp
VgyA9586tL87rN1Y7f6WCXCeu5emdHnbv2k8ikGdoZJJfM+b0YS2KXVAQSdQQmyVAohXnwL22+Hs
RmjbbALJ5V97Cckc+ED0bf0wMf983yHywFa2jRm933amoEgQCaSgjMjtBya04BUD2g3LY8MJMPP9
lG8Wt6YM3tSvwe7CYMNnare1SHrAGKOCoa16MwHmFQPaDcxjwwkwi/0Mb47eWlWTYBAMXJQQO4ma
kgdUIgyy21Z1A2nnqRf7/Xh2w/LQboLK0cVe+rHVt3X4hlENYzDpCgnyEPBPpE6M2QG3FRUSTUja
bweyG41tswkYK28/wUjTKDNR9bBQ//muwtABBiwYxJn31HiCh1QHmElObfkjkfPUSFavGNELwDy2
nGKzn/vKKvsWrd9UelYHoJspiGh+7BtPxTPI10CUKRFX20B0QptfMaAXkHl4kikwp/tpNKZ7QxrG
CASZjNuCsftdBXbzp6goerCBg2O0fZ8/GOu9pLn6zWhegOSu1RSPPd3nwX80N8nwMC//3IlRcWAT
QQmklJ+DIW0wEdj+GeP33m1iIkevGMpuQH60nIBy9HkvjeTYNFH1xv4LHSgJlJjzrbavnoOjMGQ9
sYTc2nbrmYDzqiHtRudJ0wk8x/tpMyfrKLt9O4Nh9gGFtAyzn1Dfp06MqwOCOWbg6XbazW+HsxuW
bbMJJCezvbSYk3U5pOvs29uhQkEg2/gxe2Iogh8IhCENrbZoTALI14zkJUAenmGKibeXmJyF0VvG
Kgjyy7ZNmdoGkJOtHhQXgRRQY/LDwT3lxr8bzW5M7ltN8Dhb7iUeJ+uqWt+ETXVb128ZtJADSBqD
oiK2Uhd+vrMIqMlANpQyyUlI/+rx7IZm0nyC0cmebi3RTRgF67esy4ByJsBGgdS/O6a0IUOGFBRt
bN+fUOSTV4zoBYAeW06xWe2n/USQ9atMvX67TYZx2PoVqMhQb3b3mtiOYgdYgYQMNU8Pnd4HLiev
GctLsDw+xhSX/QwpT6Kq2vzK8+hhkt4gioHthEDR7KPSMqEBIMVAkRmBeoBtQcBPZvOqQb0E0ZPG
U5Au9tR4qso05VsiBIoxF1CEua0nQ2AiT2nzpk5TCCimeSAEEwlzs2x+N6KX4blvOcVmPyszTiDx
/6ZiGdQCwn5vYwVplrvXhKthBNbDbEz4Jvv8lKW9YigvYPLwDFNILvfSXE5vv5brKnnLrQYqZaC0
jwqxrS2bmos6AH1gk0PeXdb8mhHthuZHywk2p/sZa57etuu3zCXD8QwKhbEQ/+9W/THmsNfYwJ/l
PTRAEp7azO/H8xIu988xReVqLy3mLEkhN/amZzOgpE9SUCu3iv40x69A6IRiTITEtuIZKMJTXF4z
ot3I/Gg5websaC+x2VSYLtc6h6rztzzXxOgBlzYImg/Ff5NtBiJPG9wdUWhb8Dwh0a8e1m6UJs0n
UJ3up0iweajD27K6HR4W8z/n0pu0JtQsK5tuazImW4+ALDMQbThidx+hqgkpeN2YXgbp4XmmCB3u
rTF9NmXyhviQA5AzCducNttF1+B8IEQ6CCxtK3lOYp0NPr8b0cvo3LecYvN5P7ExZR2+c9elgdKA
NyRvFLYiCnUYjxRhcvBJQGGABIbA+ZbcTRF69bhewGnSfoqWu5donZW3wZsegaJgRxJO0tJtghMI
wdOIFN8dgYI6TjphcL8fyG5YHtpN4Dj7uJdwfLjNsmpI2/WbnnqCzUcqOPS0jWrQlMVBvbOkUm7q
0h710acs7rWj2o3Q89YTnD78dy9x+hjCgex3q+pt821wkoMTSZS9LTtXk+qBDZnDEABtjnfevYDs
PcXptaPajdPz1hOcPq72EqcL0/zf2YzAzSFIf5KHgvQJ7ZYbi4P6WjiNe4/UZDN6/bh2YzVtP0Hr
Yj83o/un8tbJ2yYY4EQhBd4GcdA9FhPiAIT8gFAEOQg+Id2vHc+vMHp4milC3l7a0yXsT3C7xe0b
ln4Ar5MMJDe0VXamGjZUFVJG4dTuCxHsq4a0G6EnTSfwXO5HGujml9eH3G8N97Hrs0/+/btTIHcN
BYZ0d9kBnL6BqnU49vlQDjIxo8mtJi8PazdKk+bPnmQ/rky5iuCAx5syuk2BISZSQfbn3qdNmYI8
2NA9Rh8y3pPEz2tGtBuNHy0nJnO1n0zuU70OH1jUP5d5Njo21IGA4LYVTCcyz93tHAJKDAmfMILf
jWM3GvetJkh8utzLveX6tqrf/VheT93Eswf8u94LTIERuJMDCtbuXpPtH6gah5QQiHNbZW5Cql89
rN0ITZo/e5I/319f7SdUUXVjsip62xod2EBAH+XbGHQiHECxARRUw3lDtfs04fVrhvQCRD+aTuHZ
z6jnejBwn1rwdm4NzhiA6cCJ9Rfug4KkKVxsgyF/h7boPfR9X6rzigG9AM3Dk0yB+fz/xm5evlft
8fI5b12vZ3e31j25Wu3X7949O9ylN2m6je137kr33nH17c/3ELoocGmPt+FtvuSZKjDJ0fzU8nZd
1X++t8TGD2IJQRCC3ev9uw7c8ebHBJAVm5p4KeEQnEKwb2UbKfTP95uibThXAlqEoBvsN5JetQm4
4S04gqrA5yoKxSdQjwq3uDw85AeTDiA5Ps7I9u/vskZ/MFFWV9D6/bv8/lObB7ThFLGAL+Jw/hvu
8AP5A8hOfrP+CEscPoz/D7N4HxRSjMsks0OXjtx3CA/AtT5Oyo5O4BF/7kRJGLYNz8kV7NxPO6lN
a+VQGDAum4QUTi+q0QtFK9w8YfXs112BK/upKyjklQKCGoFsOunKaL8v4oCOy76NaidKo+SIEOo7
2OTaSeHOwqXGpbXoR5s5Sg7mN93/NJ2bq0AYyH3ARgA0GxB9+qQkHaXdcVIs46y7JFpcy6jyfv2E
m694htimC1sRASoJl4Sj512UpTU0yMfF0sbdZW/Tq0ph4zYECweNxe2vO7urop12B5fSSLjZCa5z
YLCTP++OBgXjvaqqJetocRgkGueuUZY+TGxfH6Yt+8T8rtAOC4oaOTY1sXaKVI2lo5NSl15l/MgR
JMDKCWOZrJpOKO22plWF26dpYJyqUnHmkALnnaND5ZSxIisSa/qVxN0iaKv6e8akFTlljcjVUKnc
tQbVaC+xMnoaFo3yaJhQr0FDfzXEfnkc8aALHEpEGXqsUPqS22lwHQ3COEqX9NwPjH1m11nykdtW
7LSs1E4T1MFp02bYCbTyPSObwrGRXczbZhxXiQxOmthq51Tr70ykH03Ebvgoz+vSaLdjUh/mqP8S
tKyDLmI+s2z4Tk3j0UvysVgkhR25ZYY9u4q72zJUxUrE4Vk+cMuLlClnjOhm1pmOn/Y9TVxlcf+Q
BPRKWNg/jMOodotK5E7UtreUW+qyBwrhDTiOT0dVBJc1Z6nbyMRFqg08YQLf6Tu/XY5R6s9i1Icn
WWW7Teg7yJdDd2QHiCezrrTqwQ26IVCrWsZNP4+MUJeFaKUXShu7REbiOEdxjI6yHPt4nvVlyT+x
TFjXYdKWZ5nB8D2y78mlwUl7lJZRs4SAt3Kisqw1oGqHR74uyhOTIntGsiKZ607BEtFF/KEwZnDj
LsOzdmjIvI1SdMVMIr2hLXrXCiPSfG4iVODARQM+tkYRXEZhMc6yyGDH55p5YcGrxOkirFajVfrH
vh+W5/mYlR90WR37aqCfi1HWl6yhybKwQnyCe8qXOoO1UIw8mjd11i8yTT+HSWkPThI1wTwWtF+y
KlLniAfxwqJ5eTIGlvnQpINHqmY4CXqTF67KUzQvu7j4bLgdBE7E88DBvR0tSsWao8jvEscfQ/4h
EtXc96nRjl8L7CgcfImbJFxBs+u+DQ6Z9guvz7vzfEg+xbgKHKuNrQXTWXtUVzxxorCtnLYJunPL
7/CC0AgtMcrT5aBrtrLzqjgaDPJTBwW2OdMD7BuwogmXjuUH6Jz6xbCuLIPcFIzmuA1i66gOOFnQ
XoUeTy0782KdJfPEL4RXoAJ6CxJqwF4si7qG9P7cz8PhsLek/1kmdeb6MlCLwPe7oz6OY1eYpnO5
ssJF1SIfbF9bDmEocJjf9K62E+VQnnaHIwnxcQ95rrkfc3VljIldncANtlyEa+rTa4XHYRbUNfoY
9QNakpZ+EYCrJdPgIjGIOVjATNNoPKyZadzWT0pnZFbt+V2beIXEocvH+MSqivw8LvzUy4rxWxTI
SjohSgZH+kG78q2gmWELnfdDM697Eyxjq4kdo/JuMSbwtYHPi08ltoQG99RZXl6UZt4QQ9dVmyaO
CXM+q/p5kQf00rZz5WY4KbNVJtrqQ2PldA1+W64i3dEFwmHq9m1IZmHYAEI2y8dTP01q4lA/Hz4Z
LNNjcEjjCveqc3Jify5NVzlEScvppG/cNPeJV6HwOJDZIoQNwNEtamsnCLTvpBpnp5WWq7QlnxId
Iof4OHMDWR6yUlreOFq+5yeWPAn85NbvVeyORTUTDWHrBrH8a9zQ9ixnlVaOnYLtgUvgZ9EQ98eK
43TFNSmXVEaJZ7qx+8v0HXWgDgd6RioeBjflYECOlfXxdxVb6TXuCnTpi5Gd0zHmHk0VdnGq48ox
dkoXIg3rGc9gfeGe99+0HqyzpMhSmObMTUoRX9mhnS0HFZnULcq0cTHrmRsz8B6pLNJFMwp2nNKo
Kxyaj+2ZrqS13JycdotC3ECFYlA7rQLcC9+OVzKW4jKterzI7EjPSsIGV7RDtCQJIzPMVbhsImOO
TN/YS7u27TMe4WQZWkHwRdozHUTDIh1CmP427D9h8FweYUrOYZLSSyoD7NoI56lj1Qm5YAWf8U7r
63pI2Je+5eEpL/l4XWXUM0nURU6cl+Vpg/N6nugYVt4g4iVL0tJJOSwy2Dy/Z0lFHL8okzkP/GoF
+2O3amMKPqPojeBHNdYDST2SVs09r9jS6g9PqeGNyYcyCsLtddKPf/3PpdHw6+6K4x8/3NxG/eNv
cGDj/hrrX34KrivZhCfV9EOb0Tx+14/LlDfE+vFm5QlVv7/4+oHi/p03X0fyQZoAWeKRzv7E8R9v
NP7B7u+bbMm93FzoK+FahUeK/0jwJdxKAgXiwNOBp2H4P7DrLcEHaR4q+2wBSuLmdCYcoHkk+BRy
JlAtAwE71FuAOqzwPyH48C1QZQijQATqbyAV/Zy/xTgnrKLMWoInZ7ETxQPQcMWqyydzsl08T+OI
KcXfdAORhNjcu4Y253yfdzPiqhzasbWW1cjwZWL04NEGyTPdtZZ2ft3XlAFDXwqqHOD6I6rE5mDr
874Ai7hSLfWXAzbqDPGyPeE2podsRP2HnOso/E2HQNzhK5+Sbgi4KLg7MGa4KAu0+gkL7pPKLjDs
Q8toKP0ADNTUx6ZsgL0aSxvblapTVwhKN8gcNUFLPTtN42HBTUeyRWEHjWu3G27Y9Fm0yOOoXCrT
A6UdVIm+Zn1UHheqUovCh021G8tooflA3Mzvs8OhxPo8TVK1SK2y/oRrnh2qtsznlq+jU3+oo1MW
xLCB0yALF0OB9CoKqmFW1JU+JxYbb1UcjVdhwsorkQcnqBmiWSfSzG2AvixHQpMTxoAquGFMm3Og
N/r7SEdzNtIu/kRQFDsZMIu5XYSZiyPduo3JuiUyvvGKsSAL2SLjlMXQzXDY505a0+pI4Nqclrns
nDpN6BqlgbUEH1d4Y2l1y2JIBTCDXvnclRYxN5XU+piPuj9XZgwbBxWdDJxSsjmqSPk5SizVJV4f
lqIqHDF0QVd9huO19lAdh1kez0UmVOZ2PqxzF4UG5Q6iOvvalCL/HDeBvI5VQj6qAKnQ7VClvsWy
ymMHq1JkjiaDSRwrjvp52UqgLFCVG35NwlTabpSx9AylrcxdzgJzLJquORqarLuSw5i6iR+VHiEp
rL14DCqHRbF9FlH8Mewj5Pp9PHwMCwVUAaPysxamnZse1XPZcst2esP1t1LrcBFm4c1QxrkXUGkf
BUo2uYNHO9SzCiYnzPz0pEj1eA25POucZtF4jEZfVg7sa8kKNlNkeUkU+8ixjHXBeGSvfIbYsu2y
akaHKDlGcdB8Cypef03wEKezMRh5NrPqSB3CFFRe6PObok7dDnflaZaiFoL09BuifefwhB35Vt07
SRJ8UpUVwSLN04WVy9AZLd27Vd9lwBAZcpUfcUfk9VFslYw6fR0MLtCgeA2nbHz4sPhC/YZ6oeHD
rBe8+Oh3KTnmYfXB7rsOOxJOGsLSBuvpbdKe0M0WHeP2ttfCmtsQq5wkJBu/Al8bXEDW/pr3SXIW
qYx4yVjXHwu7ttyslh+LQkWzxh7/spqSnpIRuBcZxurUEuM46xTvLrJMAcnDqp0Pmp1nnb4W1Ddk
GSWya5lTB2043GQ8SmAzbpvGeLxJ+jh1BpmT2BmruPWSQCf2jJNmSNwhLfh4LLt06FepQsGg3TAo
EHJ8ywrGq6TqWBs4PWkqiEtHyxReM7RVfMnKWAZ16uC4l213KYY6nClcicCzh7BMXMtPItuxC8Qd
VcssW3TtyMVfvcUCORdDQuyVll2FvCi1Bjmv4ioqGASwNZ8HSTcGH9vEhk/SPGqDU16UTegYXWbd
h4BbgaROzosqPFK+1ZrIqfzO/kzysCljB2W+FUJ82CtyFTedZc+LHnzkN9GHAFRYh7V1mAx50JQX
ifYzXSywqpLPlp0nF6rVEAChDNyw0cJetqhOr4Q/WKXrU+IPTtdwemj3rUFON7Zd49hWqBZ2Telh
R/ziGPe9vSTaQsLpkyEaPD0qfElCE8ROVWx+LHzuXwxD091wkvnSyXCWz1lC6cqkPfTbsGzwkiZl
q7xC2WHUd2pW62bMXF34Phi77MxRwVhVABsUeI55ZTyIXbMZcPnazSokgdMOoQYEfPWlL+FPRW1l
F2OF/NixM6vJvbbt9HlPWX4L2ok8hoFEwTwhzBzlg9Kj1/AgDWfl0JmVRKk6S+2Ir1NdwPho2uK5
Xwl9bnWJSNxEahibxXN4z7Zq/Z3IMr2iqO4/pEnMR0+O2lwEOoxyIMqmweA8Et6A3ab/nwXe87bf
Sb3IZr+kgZPz4D/IILlvuWWDcJuGIhKooNhonXASjT2yQbG5LQhu14I7nu7P4wCJeJB7yQE4Nwrc
QsAd0BIuGHxkg1C4RigUraHN7c9wlhdE4gcu/IzTg8b9CpomoQfQtOHwHKiUMLqJPKooCE5JbuVL
GaXfwaDUwpLGdyKJut9wpilj2vQEVd1wg6UA1oOnQmyasYyNPYaeyAi6Hsq/5Jnpnc4PG/fXdHBX
T9AHJK/gAkDG5Ob9JxJ2UFv+WOZJvqy7pHH9Bp1VrY4dXox/V8aGG7jgtmcINaG7zbV2zztqRYpB
qhvz5VAl35M0+e5b0fcYfv/bzwPd2EBjBSD+E0Y1D8cqtPt86VvgtpQsCqcKOZCNPvpfTB2sVQVZ
gE1GAU6CPX+iIEeamRCeqPV1edyjBvQqQ+RxmcW/eajNNz0l0LAcJCdEAWWnkAeRk7kTrZZWrbp8
GXYgivFm+DgE/RW2hqu8BbXx1zO4CTZ+6oxC9ATlAFArPVXhLWwbsE2TL1VRSU9UulzGsvCBq0dr
JAPtRqykDh78+u8vxc0/dATF9ALuDfsp0cFL05AUGOkyLyJz0ZQFdWxlJVdWDH/69TNuJuynZ4Ts
EXgFKB0Cq34O3djEwOONzpdWU5RL3eTDLCbIv/h1LztsS8L9Z4+9TOIeKGxmrdWk0Ivq7SNS9let
7rLDrPzfTd2TniaeqQPpyrQZ9BSmzeDxPl6PxkrdV5jX5nLJydRBvC4hDwXXUsABezFZ9cbXttSQ
D1rmLTFejlorcYYc9tqR6WGmfGQ8iAzwvIB81hKVvfHilKoZLVh22BYQtbudET2o3hDWlRAL3Ygw
0q6IfbqC22XwvBHJ90EyugpG3J7kovKdMh8rDpKeKRyTw0eG0NczlHTEBS5kL0Vf6POhVOQ6EcSs
bD/2v7S6HbxOAxUCNQ0kxyGD0DCG9ZyIngduNTQQWCdZL722CNiqrsNs1iRpNquJyC5qK2aHSI3d
zV1MeRc1thwiySEGgtLJqo3dUMjQzAaWoq9xElpuVMF4LKLYGrJoxkvaOp8bFeRnARmNV9vM5i6E
3UCAcJOq3ilorRbch1C0QH4/i4sG1MMyt1yN4OlGDY5Lx6J2RZ0R1xfgXEKo5ZpxDltAJno8r8Pc
1G6rNrG7bqNFXI7mCKPaeBJo0kIqbbkiReQ6CFv7qA9w/CWQJr3iXQJhSEXzzwXIk9c+PHvuiA7n
n3PNmhHG1ILQGooNl6N0AFvvOYNo22LAqqoOYixpQXBsWVH9xYepOQrjIj/jTfwdYcC0iTm51jL6
3ledf1Hz0ay6jWsMgXodDSkxybxMURKAbas0/BBHvP8Y9xFbgUevXX9Df9sgpQ7QAOBzKWmAgUJk
Rx3WBNFpQHN1FvMg+w55HHyKTQyT2KQQwBOrk9K5W/ZpFbDDEXI1xyGHKUsimAS/CUG7ZeEAJDYP
LuVI4JECESVf1AiBmi464/l2GGsvrVszumYsebqIMoLyE9y0ufJ46Ld/hX5uqRnBbSXdDGTJ0eEo
K48tE43X0spsSC0lQEBFaA7hGYdZVoPnhORxsWQxBsUelK5LmhlYP3aJNlktZreJo8KwBYW81+q4
7HPqKEUAgtrvEwh0SQ5CiRUkEJxvRP8KxHQvZ2i0XNBE1GwclFzUNG8hEki7PLyqMytoF43M4rXq
iDVXGdgRFwZDikW1KaQY/P5jV6r2r7Eck4WdN3U676ySRPM4p/Y4GyHTWDhlFUBwwfsEfx1VXn0j
I9gWs/wBe2lnV59aUeefg5jZR2JIwYcCp7adsrHoIUcMwg7WRZaLE0DCDoPkSxGQ7LD3g2xW9hUB
sToGmh6qYx9DOAMDgTAiANnLGqqi80IN6m+QqH7WBCDdxBYg1FDY+hoKXi2UpfTsUPkXcVs2iRfm
fXib5cpeZglvnYGHEE4y3PyVV0O7oBqCNkc1sBDGTmaHHYu+V35UOIVVI7fC6UKVwW0NaocXVv1F
VpAlpNy/NuEQHeqMk1nj5/wItkJxHjZglDiDYSGctidtXapZkICdM1lD5j8XybXE+XiEVD/Xo0jd
YOzz2tVdAlk20Bgih9YpLGrwiv2HMM0HL2tidUaBVM4LEKRmEHQNEBnlvkOreJiNJXg33dXtAm/2
3RxSEh7R8TqqLHkmu9hep30lz2lb41MTdPgyZj497BtYUQk41C8NKPkuSgfjtdkmOqtGMCMtC3VW
ZxD9VVYJ4nlQgc8JWSLPMS8Lh6F0bdvgKMsS/AcPLXE+Rn3ikLIcPF8UmQ9p6kae+yYpj3HXgCe7
Y1qNKotFinTjxUMMToxswv4Oui6NKZdRJWsXzix0N5CfWOVZmjmBqhCsYERmZZSe0bw287CjkDqt
dH5WFRtebYg5SnEOi6krwiZyNGZuImB2Il91nuYNnt153S6MPteJxLeoA2/VbtaIjUZ8mvgg78V2
H8zbIYzBxwGTcCyrtk/jwJ5XoDpBKr0krk1H8Ii16V0QCMynqIcZGoWfeT0SpcusqoPscA2eO0Vl
uQxAQ7xs88B3Jc+yQ39s9HnVgO+xAvAenQKjT1oNc65MM6exXThB1kan1Cfoq8JNfdRaNvBR05zJ
pEqXFUftIg6NWmgVWCfwL1Ge0Yi2f1lxXJ0NfVif+PF4HSHaXctkkB6UXUQLNmJ7OaoIkrlhoc9y
SN5CrPtZFKX2Ihp+hxR24LI6+gT2fFW2KFgSaaxZGOjCrRHNz9hQkRS2xWABzv2rZZvGIQI2vUTB
bmhFYXpVZOB5yww8DtISX0aQqTHuCJDm906Wsyqfj4DBHGKvzkl4L1zYtzO3HdK+WWqo9CgXGVQk
EBxCbUJ9V6cw3NUsxBDkFbBEYqhlwAFKVhmkvZQjcxE52V3dA6SwoQYizWmkHSii2NRG3NVJ5Jp8
qjTRh11B9aERNYJ6CtkUh3ST0mnu0zv+fbJn6EivR9h80o3ErUXnfyxIF3UeSuIQ0sNRq8PDLla0
7R2i/VYeshbEWciMN1CV6QIXLxvujCDxfa+GOJSObBN9m9scstRRIFa9FDl2OxChQScsbDQrqh78
+iAFyC5uXdb1h4yDUlvGrAG9rJJBPKvzsGTeSBvcavA91ReZoKR2TZ9edDHtUyfHkDPfkGsWObkY
2sMsjRMvytFXJptlDsliUFYoFIyA6jMnHOwLHEd7btuxdYJpZsVeLTSoL4wMC7BTQh0TV4PTpLJe
kqKpZ33hr5PQTmaiI8mMICM9Iwr8l65Jf9rAHg3qSFAiL2OksVyV0vEUzDW4CVKBGyfBleWkoldA
LS1rFfX/w96ZLcmJZN36iTgGuDPdQgw5a0hl/lW6wZRSNfPkODjw9OcjU9VdCv1Hsr4/bdYKq8iI
ABz37XuvvdYCE4ZTkDXEN+kTvmVGdkK1BFhvZFR7h54Lvqom+npJuHrz+dcJtrPntT/k8ZgHUPtD
7oOsBNfrIsMety2T02jXVwMb6MF3zXyvswmMK1TkCZrU8mEVVp7H7kZeUUWKZqVyvVstaE6CYP+u
UKPv9PP57KyzgMYKxe5loZa5GWuA81GN8wyl5lZVxFQT4CdbTx/TlW3u1yPwU2W4s4MpDSUu8TDu
7YvO0Shnr8kMVIZ5IAlr0wmyVst23LZ5d2vJtYNI+u/u3fu3of1np+qnXg5EO0iVXgTdDeobjwX4
sXJqFQmO9KuagDIYKyZKdDxPpp37Q6maL9rqomM15uSDXmjev247ptsc/5y7xjnlTm0laVV7X7pt
mM8L6PdvCjvxU3nC+aFAwLQF0ShI0kV50i9FZ4VyogvdNPJmmsfmX50YWFNGA/U2cSZJtmv6SyWM
Kkc/zD65plNxxr1Dok1v/gupTHsTugNMGpfKE3OztknqdfJupVtEd60q1V3lj4Ci8wCkqKfUu8pS
orJYKFyPMmjSR0EL4Yvw5TbHEf+cQ8sJPqwpEEmcrkv9bBdF+fl1V2xbOwoTs1Xu7xpvzn4vLlaH
45FR7s7CPBHlsnuZTSYt2b2qK+2X5NvW2MV6KbPECPnHUATWFdycOQ7L3KVBEHlJpjS2DL+aLj/V
2XgXQLPzuCmuYJpeTE/IEAZY1imuIurts2dlwLvS/C4M/IRYcBSAChyrAukGweU9n4ppTn2eBnDl
S5JnPyNwtb0P6cuNqDP8qhPxWlI85BVJ768v0P15jElR9idrOntXVV6Ww6tTyVnVJofxZLL0qpZd
dPcKezcTqfHYGW99F1le9NzK9bmK1uFfVu+Zo15nL0t4CGhe7PFWaWh/Uyjg7vSkk7JSV+Tf0V0J
X/XbkDqpvrbSkcL19ez/P2vhDa/+QZH1N/H7lZq8B+Z/z+OfSAsXwq5/oNX79/7Gqv3/Q6AX4Dv/
hpa/U5OBbncRFMEY8xuon/8gLiCUFjyKEEna98fefaclOxgaIyVEk+vgAxbxnM//BqcW4oeFvx8R
xgIdd0iaPmywy2VXOyVsSVN5f4XMnIl6tZc9SbHdz/SyPW/qqy/SUt54aod1XOWBvd/L4Qx2qf2S
tUq21s5aq4KbKPfW6VBFVjtcQd+px/vaa3prjbtq8foXr9IlWIfl+3UpkgxYz/kroME4faxzeqBf
wtDr06+iEYP/kPnFwOpsHKqXOpE9FM93OXCFaQ9Z7amqj1krNLKdYIWUesyaxllv3UYAplrjvKNZ
/7il/8tO9uNWjc092LAE3ZS7AQHDdblVO00x5X4e/pWari2HK93IWrJ+51EFV9uY6cIkW9HzKNja
Tgs3/c3GfZG6cPzd/xAnfqAL7tRPQPVWipDU3y++lU4lKhLGDmQ030t/ayhPajFE44PKdSZz0jlr
69v3RgrSdjhdpOHiBqi7Je/qukEo54HwP/C3X4/Rj9mFDDAKpK3CFNrdZfZp+eNmv+SF5eZKWN98
iyLCPWRwSIPhVIdSCztulfb9z5VnE51+fdyLe7MfV0b0I1yPJ6zD7r84bj+tXdBZIvxGL7gG+psh
a45/5DJ12yw2ZTEVpDq51jrO8w5J22+SiB9p8PtlB/R3eFJVJKF6/gRxZt5cWLB+xTcrqINBJJ6x
fe8LC8nS191WBPVDYTmdQ499WKfHarTtLafLUNQMyq8H4sdshjNhU6Mn4wEjs3v+RMjXfmGXa9Wm
X9Noaz117oa+SdcjWMEYrec1VAt35deH/PniQ1QGGKuR4O1OAhcJXh7QFi1XW32TvmGVn1bH35yK
BMFMozwWYSr9z2pi1GmskIP5nzt7nQFC5gLmiPnNRHAuIhkDwJMQWSUsVPp4P6WbWbSVXtRr6wXW
ZNBYV4vO9wVBipaP8PZNKTeZFM24un1Mu11wVl5h59Nj0/vlmrSWo9rHqMnp2x8Gj9z/I1BpO778
esx+TEDghzm0z8joPDqQOJ75F7GEPCtU9rAtL4vSikkA3mkzWDZ0T8+KFyVm67F3q2FfNNp0+0tB
+/+/HSyyXRonSF9A6AV48sVphIM76nX0u5e29ixieEn0on04r7ZevVuRwi/4MmYTT7pvoDwRUVXf
KICE0CotMKMhJ9rukX/N+RZEmXq+lUvVw9H/9XA5l3MM8wkaL+7eYeIO+5e6mUUY4Lp2Ey9j6vpW
cyz12NfT+2HT5NqJGdaBk4M+DPvt2K1D062HsNpW69H0fXo9Rqomi222jQKryYcW8K1FH0RXZfJs
q/7og6RszV7B71Cja5Wr097YW1TzqxW8clC831zQXmf+J9MmUvkORjaRb/OQ9T3Vvqg6mJntMFME
fQ68ziu9pEcTwlRM0ymKVOJsgUVoT9e36FlPkr9Nr+EEXQB8KeQGWvjDaTLi9wtaXkZx8mKSEY/8
lF44geRiWlTw75o07+ghK1bRcBRjFcp7YBmx3gr4+AxHlM719tzky7oG8ZQr8LaEgG/8j9mwpRbl
LGDZs7Km0X8IC39PEBY5N2Cz1eTtt6cbRcQUWufAmz/2qqy25632KyBbu673Tatg9LlBXRvlvElb
gUwkbJaFeye8cuVl3OxMh4feG8V48oPpFSZesoIEY3g9fBRm1mrisFtKfqIjeeDMC6vdcwPde031
ZRn9duhPEPyc+VGKbtN3SlUpSFLdKBc+SpY2y1Um2Vz/bMM2lc9QwR0mWRBm5Bnz0HakKL+eG5ch
fK9KcKGksqM4QNV0MTVEurZQpfr68+Y0o9p5THbQj7Hpyq6+FtNgCBS/PuJlNHL3Jy65dIwhPLB3
Xx5xVPaYm0aYP8U27ZPRTHIPf+4YVGze/t6E+5yWYmMSGnfSY3ZPSRUwT399Grs274dFIQKeJRyw
cXnQZyVZ8o/ZwybmabAiv3luZNtoEetu8qy/uiEfiEZ5NaJcUWnQFe9ppmREnD73uuyYhdqduxjp
nannWLvZcFunof+4CFWHazwax58/6tCyi2TwtqW7ZRLZeVzaMqUYlymYAIs9t5mH3ZyTXVynZaX3
lT+D2bxDAR/0aywqJZbf1aGXcS3c8ZBdQe/uNQFw1MXeWflpDpQ5Bk/z1NoksZ5SLknsvO3zFgq0
lFe5Yxam7VJFgpeMXtMe6vx+n9JiKqFwPaaLv7/pDsVG773oXbGHyAH2FF3Veu7H4rx5a8WqSw3N
rL0XDwPqWQXOwDL6zU28iGwhGVDItklU4w5iKrRPtn/wQwbRNltXtu5TqHPB2tJ9tp+AtsS0L93X
dQyTZeXc0nzZlzixcg8pqoeH/wXNEGk8qp79rW6gEfKljspAXhWm3scB4mvnP4DY8qkiF/slrlnj
j6fKCpQ49aGaxZis7Bdc7m8u7SLL5NLojeKUxFKBhUS+9+OlaVpbQT1165PI5j1SaTUwtbZ6K7qv
2g6hS8ar7iDCBG6774+N1TnckMVvajp7W+M7OjtFwprME1mqYjhMgNigvRHzRjRpC9r+81maut+j
20TYvCrc3hAMNRkJByx0CkM3ocZyGIomkwyFBrS0dOLVU8mSyCO35L/exmcPhbsr9b8L2/+lCrpY
oyHpAtlV4KL5dCL7p1TXMZv0V3+wPs0QbIkOb+mtm4fLXCVUlnnW/i4sXGxH+yEhedgubC7+T9b0
47DbZUcK2S/Bp3FymCF65YkotF82VHg0SXvZecfUWN0yxkBzKwNez2lLykLQY5RgVdb6feCPYVqe
Ui1DggELcv6ocPtjB2gsFr5G4Oc/fL9t2WBahnKpw5a1wirab0dWLfuNgLfs8BKtZTR/tLum40y8
irbuc+XrvU799WjLSHBx/0gUuPh9EyBI8PhOsqDLyoZ0cLQye1k/5fnq1yngYSX6JDUQIx98d5MK
6nmu/D6MI/hAZR4rNRTDjV1PYvHinmzHulVZY8n7tMnpUtC2XrKvNtq/K5NO0off0Hb1N1nWm/rY
wJFWX8zm1OadnB17gQpZtpHXJwP54zidjPHC+UENOYyF2G/sxrkTtnKiQ9sqlEfloicF8WcJhw24
tJ2VXJJsqWYWw7wps9bxYnmlLE+R60zy0a/1KlEbLg5E73MfmdxJyd/STF/rPCAzS4KtNttGWctU
7K/hp6ZTPEAm909zFGQQ/xtr2T4Zv3OL50nWWXoQUrtOslKfdivQHm2kQ1S4pkoyVKlXgSv0Yehs
s92mUWvbZ8c4oJmZNYa5fexRUsgn2g40z5+izl6WT4tehEbfRpP8IztGMH3zlO+rpy2Ys7aL+65z
8vFDtGx1dU4L0I3T1qFPRcoHiujmSaC2cQhfnKYM22+523fzcmCqrMNf0aSNsZOqNqNTXum0Hbzw
QB3g1f45bazKf4icwKqq8+z37ljnf+VhKzSjvDgiVPJ+E93MlN4cNfb5B+Hb2rePbSv7PrimkUtL
7q71lmrIjuWcaTPfGS/NiuKUysZM3se0dcVw7Zcy3ynLC+VUFffzZrOt12NYmCjOLOkPGtar2sr1
2mQjEtGzKRp2m6SKjCTAzn0xeX901uR74zWTw1gpYDFpi/Mw9WRdUaxXES7+uxoYlhf99qZVFDV/
o2EgOdzWjXJ42aYhcueb0ld95l45i2UF9AdLr5qC89KWTrNr+eZ9X7Q9q+ByMgEBXXxZ0hUjjqSk
v+9l71bTmz54X6ZWaepTUAnL7a+rCcrD/M4vhVdE8RBFOyYRKO3l1XOAqNLabqWsR0bKWgdC9j1R
e8i9W0ukKqjvnGIonPp9WZoyTI+mJBBkx67AJVklhKz9lNbZgjhztDNIAMPB7quSznurbZSef7gQ
GTheU9ZR9IQ6YhgSRR3MyLrhVLCDJA5dc36E8ydliaHT7zm9zGkiUhjkTiv8U5mbfcRErSteuhFG
+GPbBHvIl7POwiCJjO6YAFtLvnHWkUL3G2MDsF9qrr2N4RvKgP+xl4wpR6tzhyKzdYr99ji9zF3v
f5x62ce5lVEJlmRNluJWWG0V5vKvYaCgGU6qKMi0EhM6azAkRZh7gOdM+WmYnnXZwppgvKx86875
hDZpuQ/LYD/lgjvdb48+M4sjCP40vKTWsk8wX1n7nfdWi/fqqNmHZp4dPsoWS9OIc5jRX3ON369H
KSGGFwC3nPegbnb+Y+XJNBIJ/BYAIBqhucNYfJ896TZG/GRQWvvFpXp9HYyJWaOS7zlu5G3e/l9i
9Kp7YRfKevw+1EgP94//PchvnwMpcKv7wO0bTsBprXx+qVAjFwr+j1i56MHdFr6VuSIr7EcK8KxD
7/l2o7pt1kw1Ku9JZdetE62ptzeUZoSgUTN1jNLsNjUfcXswNoXaSaRzFFf2uie9WeO5vImkxx5e
orcR7HpWEHHt7Zpyt6BGS/qu9Y1ztU7hXp3bb7f2bXr4tNQYH18WfOPoBfV+8Yu/5kyWzFH7YXKZ
+7y5doMd5E+bVchJ33ClYh/et4m0TevEWXKR+684hRr5Hp0Pwewadb6f+tuAWpuhK550tehkcLRs
r63K6w2no6U/ZzuiZR9NMXWs6ajMduRjxPzgpZgDd3ihvd0yfUY4hPvFK7hI/rsRLHv/QXfeXxB7
hLzUrb0vh2bz9vNvJz/LzdNUZ9hQnNos5HfzQTiZuKrGFcHUrXibK0U5Rjo4fx/yCIYQp7MUouJH
2AE6Dl72RcU+PztI2O0nMrcynNEoW7otEnvMUg7uQcigZNKIh/V1DWAAZMNtyqdr3AH25Tyxv/Je
tU5+GZ4qksVlvRHRWC/dFdJqm353Hcm6meN0zIAN6R5NfD7Xw8gLSaNXPzTDxL9rYwDRPNs4QEUD
WH79MFc6BRQwquToTp5187OPmo0qgA7yPvdNRCgvT4sYXCJMqGB9hse6YYttjovVptF47UVsVcuf
NlxQ4k1Wd11VXX2Hk0td56o8TXlNvft1lSPu43ALcobjLF7XzNCFNQOGqKVKt2eRh53RT4MwufGv
9NulL1E2MkSiX7aKK6pQlSHo2WyHKKeV3IfPWfp91oBX7VP8DT8Nx8owAg6WG1yvLgqXF8UE5/ND
ARRq4TuygStDPq1a/CzyYvWbe9E7ik/49NuY1LM3jcyrN5AFKkyt0tPUDip1r7N02PgNOH079LY3
XEENB0/SejunTkXpi2q66tpE0wSmDm0qGOPQU6CrAcJnVQhx4yD8FOHgw4hdBsNMrbcP3oQ0jfF1
MYoAiy/rNuPrPDWSq/zTkJ6l1o1JR6WKh0iUO0jZTWx390GVCl9/kMBYa3pc0hJlzMk3vVePB6AL
6N5xAAjkf5aZcCjJ2Qwjbv6G9pCr8ttm3zYaL92nm3KVw+R7G8lSdyDReBnAFroxm9ekwYdqQ270
qEimQRW2HvXcZ+It88sy/cYIoATfryHtW4vgT3m5o1Q1/MgdC4iazvSf/WjNB+dFLrVfP/j+0K/p
SbrdqK1/YRRRLumRHU3UXjzW4N9WEtZIO59BJE2lP9kZ/jFZknqryCEZQlMVw7doLubB/XNEdKfs
s6qmuYlgym5j9bxJlPRdPLE7LBT7jtORUwbQDyZnYpY3mJkkM29awQx9i87Ucvh+JW/3cuhLAOIE
Ncm6X9ZruKnreY9/0Zrt0YTsf1+8xYhWvjm2r+h9WtLXh1Lk2BafWLN1/2AqQCeaI5X73tvA+aNn
KWdki+nDplenP5Ys1H1VRs3+l+9TlpySSATjZf/TGx6+h1MrS9QCdTaIHVfZ4fspDzLTxcZuQc/l
uqWYtBi4dHwps7YdDhzpE/EiScv09bDZzG9p0394ALfczxwpG1/9fiC69WxpA1PFenyr2Nqi3IIq
Ltt+kh+qt4BVvQGNA1IWZoNVDzsIOSpfSXloYIJBscsHf7Iep8LruWZt6OLNN4Wb7WlcLheOEcz1
flrT64Kzuop9JE69aV/kvbu3GQ+tWfY5GaSbWxWxl49t0xzzsmY1nt4GBBx4D3oVAl9+V46OVd7m
rqiD8DfA10VBD5ZDfGAGwzcIfOcnWDnX9BDAq93HvOuwEYrxulhYDQbvhIcB+jInUc8AL3k8F8N+
7r+p7n6s7fbD86RgROcw23km8CXOqqals8wYAFW9hcYSDJizoA5gJf36UBcAOqsJfyabYwFZ8a+/
l/X/QGUMBN0wJZX8e47Y1dJ1ydCnUr5DLb/P7sjP95s6FSV3uJNKcsu+B8dfn8uPEIIHAQtUCL+m
0Kcdzjx3fzyXdBYu8G2ZPfLEMcJY4Tl7kjpCmBXHrSN1/t04/3xADBMBDvwwcgEXowtcscoV9FtY
8h+HpWWjyCp2/Gv0nIS57yv71xd4yaPhCsFu0S1hbOrytPpLIHOpS5m1uvY/fo8YJodIm0M0Fqvn
nRY5hjPUaXRUHyYj1vLQTO0ez4UiNFhI+tmIfnNGP850xpxSan8kOJYBHgZnlyysNbItE6xi+Fi/
LSpDXscaX6YK65VTEc7FXifIaWVlRoLNgdTCyvcTgeI9TPBeByr7k9eIzrPjhdCC2HjoBz7O+kid
h2IV1JOJeetn9W9h9tcXcXkbuXHSFriM8ewS/N0umTPsu4N2F2t+yMdqj0zbayLUj147fVitcJJ3
//3xPFRur09R2R/G8eM8DRayEdzkpofv296S5QNaXUj8Hgr8kSe//nfHA/LfPfFZGBhDyp/CgTAp
SPRclA9v2xJJ8n43gqpmXbTjsG8Yvz7gDpz9B1vajdNoP+2PVUT4hszuEs8067YUavOqq6C1VOUl
QdME4rOvWDC/W4I/H4pbF9L2wiGbIvMy1DWp26xT5mdXb6nI7IGOMI/coeHl11fl/IhA8+swNBDZ
ubu9ZoQVxcVyb22dp+XSR1/tEpj6+7Jy/WpPFRU8TspJE85Q9OxGKhd5s6rpdMQ1qeiYaNEuwVOJ
AsV6/M15vVFE/jHgYJgMQQRx55UwwMNFfpxRtk2/KCjy8aw2187Ho4ssm1s88WDSqfvXuLU02pNu
zMB8o7jBy8rxY+1luNDckkVADcqSrupBpO5cCSZiv29SjLC6q5Wcxese0qWonGVNUpdW2J/jgOtX
dlSlK9vh2NTT5urE7mx/bA6h8oAA78TidMJ/H731GSufIkm8Q1/uDMt9hQoogsozzXj0gNWUUEiu
KICCAsWLVfZMke+JU2DxtTyu3tIdKgeokLH/Gl7fSqDqdTRNDoHbw2tt2dMTM7sWiTbyR+qX1p0Y
blI/fwoexFjvSab1lnP1NG25b3YfOlsRV6NunC1uRxW1xcHvg7qc4r+hmIHtHK3EW4L1mtnR8TOM
7zaEe3IRDDOIFzVPhUijDzsO2WAzQAZj00UpsqReGh7leqbPUJf1kyAdj8SDv+pI9telb1s7SDHO
Cvx3fasPI7OOYjjk1dQAB4MMBXQ/4jLXqHwTa0JiAYF0wCXGc99HQ9QH5pgNWKwMn7w1mrfuE32Q
vdNGbmq7/kOnR5obnyBv435xYJ5DczjlanAcXLsckuF/rZTEY3jj+YtxPzvesurwATgv7T+0UVRW
GDi0o2VTocPwXHSC+SU9/mPbrdzbg1ncTa2xbYGYzAkpo+OFySrX1NxV0ajHLaZNbgqq/ChU9GuL
3B7PcJO1efHtplrzQyopBLDwCNpG/dGCCFlTjA/n3gr8HiMH+vSZfxc27Cflqc1rHBvI7l/zPwD5
PX9d8Yzg5W1q1K9ZahvUFaWkwjoFL45Z2X7j7HqiLuA03ApbCFNZc/SJzaULH/s2supTU3iZh8Qt
M4/eWnjlYS1Mei7kLK7QPmzXjVrmKxCW7mOgfDfBTyF/CApd22DZs/qUMqmvJPZtY8zqy19K1dd/
ZHbRHZbIQUsV1kKfKcKButwWBVtvf+4qlmNrev/ON0V/CGSec3dtS+Fgt8hj2RXTu62stX2kWtDH
cLVFzYz1m695Pz26juxvlbSy2waPxaM3Ao1DkMmu5g5LxTwy4Yegzwf4Bn3xrRiH9FDn+Nutsm0P
XhoNNyjQmtOatnSn296T/HS4toks2+Bk+MnrkDrxBfnkdIaPkX4boqo+V4tTb9jelN4pL+3usZf0
DDDmtIcxtkSXPZllC7/U6NCAGKbmkwnd4mi72r7hIQYwTTv86O4k8OFJ6ZHnKZRB+gFQE6/PXIvo
m0MLijrL6Z2Ps4tt4qlfW+vojI3+OM4SIIRQcBjXZboRo1qr2GtMiDQxSvPwj2J2o/UaZsT0dXTR
uh27qdeUX0WTr/EsvPCvUHtBc7BSS900ETSJg3R0+WGZMWz04BDceqN2Bpzx8u6LXY793RJI+3b0
nX2Gpt7e281mc7OQZt/bQTVfg8pbN0Ul8BcLiX7fHGNEG28bJnaU8731p+kH89dgWUviFs72ZRzL
zoXp0ENr3BCJxysSLMzHHKyIDv1mquXGn7IBBxskRw+rExCIKfWS2YjdogYXiv5GLYM6uf3k3no1
MgsQ6GfPrF/tKU0fpMPymcdJH4A8bcSFSzMHWJF0Akq4bh/6XKo/134hV7Rpu2N4M1VwM6okKDKv
j61JyC90zLtYuHV7frWKc+1Gf1ictvow5qvG6ULr7GnI1+EPZIKNGw8L9oCpo3DjKTk/OsEhWCAL
b8m3RC4w8CN3xECv3ebyS9n0Gxolu3mGKj3EfT87GAbJ8Lp3VZhMyk5vJI49X8bQX+5K+hAz7RA5
cdBUx+lkDVTKU3bnh4gd49qpoi/KItk6hOSNuHqU4/Aetnd1ItAj8kWbFFxpp8vfwx+Cc2Jy9eR2
bX+eJ/zkyn72vyiRPhnq96dtaLbwPPRyjcuhyf5aGZBzroNpOpKero/o7DxUwHKgk1zhUGfn83zt
R1V/HsiP8RwNxugpanX0IlBPfipV2r1gp7X9NTHBD3PQufcSwsPZZqc4DMugH8l7rdgz7XxnqbH6
vNldexa1k8IYA+Z+yFcMgGDAEpHsssBJUHuVfxXQMEr6sS3PlTepJzhngvOf3RvHbsWp9MX4J3jh
8D5q0bw4ax09No3abrOxHHDsIeRSnmM61Upb36hJmvftmKpPKgzlV1EhKIvdYZ0f5NqweMDa3jlC
T7eLCsx1YRaBWRaazvP/27dzQ0/5FALpvHl2suFnmCCo4H5zLA23CrvOOkq9Ozrvjkh0E9UYo6yt
YL6r9vTq0FnRGnh/6c7Z60li2uVt291/jDkzjLs+4RSMGSmisuUogiq8cuhFJnO/yXfhnAk6Bsr6
ZqW4sdh3qye3IkrWZiEHPwQTUHt4V3kCFenR5oGKtY7rqE/vjNVn70F/6gfEK+1zrdUXvpMBQBfO
My6LyAunoHzAiBFaqNc7xU3U9e7nyUpx0KxzY99DQZqeCneeBzQntZBJlDvBrUw7FZ4iu2mjmyYP
+wP9ZbnFSMDMIYy2JojLTUdz3Ii0fegseAi3qzUEeKT6ttEKg7GZBpSzKMdctxLJnVik9SFoowJv
KxxuumMe9eojKoMZo8S6W/Pbpqi64mCp1oOpmaaOdQ7mcdw+rmGLldB5Tz3sQ4RWre4qRq0zWXVT
gRWoOnECMpfEa6Z0vgfFKccExVj2yQQb5k2dXft30AhT52AcUsRbDUCgn72CqlQRR1SvPZ/EKUMH
nF7N2g9uPHex2/LTJtbURSC7DHY03bgEO/s6lHQqzkO9tuqQz6M3PUZojZHLuChvVaxwQK2xUpLR
8lgI2Dyxm8v6Q7c61nY2FMBlYgeDa9+ZqFzaxFX0F+6DmnB6gLi3HToQt5vS1UWCxV91o611Gct3
9Wr50YZUs2ntpTmAHzXVzh7DvrN5p7UsQ31Y/dKvXYB/JGnHLqTtmkzO6jZHiX4+v0OxU/px0wI/
J5tehjYWzUpDKpjK6qotpNcdM+OZ+6oAvj0gMF+uRCad8OCHdh4A1ZXKua4yrE/ifvKCNXYNXXlf
u/oBtcYSJE2ZyjEO8EUCIgRLfHZQWX6bI1ITofrVPXdd6iDYwJt0QkLqL7nVJXAGoMiZOMj9j6sl
u4DEbArXok6IpIijuHlWsRRfCUJD6B/zvu5jLxucBdVUEzhBfuzdpfO8e8ea/emJJnOTXpVDKL9k
8/x52/LsKcv7z1nUe2VMmdA8GjgnxzRM1dlm87AJEr6iLRdstzVWlw9KFNNpzlWU9EO/ofOHPtrH
TeM1j6qtfVS+PurAsJDE11k3X3WWbqegq2kvZkt6T+cztBMHKT/mc2w28n005uIxgNikDsUMBsV8
YMKgYSnMN0xDqg/90I7hcQyC7G7sWnw8hlFnx2nJ5hS3tSYLYnzPouumK4cDjsb1qcJr9LGtbOcY
aURrVepZ9261yFu3p5naZciEUaVmHVZxKc8nnILpvC3YxsXI1OrmYEczjqzoJrsHeI1GX/fKpHE0
GntJhiorE+mPc49rcJPCbYWoOV2PPhd3XAHfH7dUFd9S+vEDKvN8PigWpYm3tVIP7PJs/gVatwPS
7fobp5B+ZNfB9Rgjx2Rq0dqXReZ8BhFcTpCJonNnR80p6IPyvVXaKpmRsf9ht81TXcJQyyjcToGb
ln/ia6g7ZNRd96ewU3WDTDNFRq2WMkwKQNubtHe56MwGeS+WOaEIF+9KypKb2TjF1yoXwecqzZw/
KkeYu5mO8sHrh+5aAGU/0xRwqz2m4SYoSnu49/FOJm8lOO6TUH6V1V6kr9iOsWsv7vjSzfiDH2u/
oEELyN35162HR3QyqmLR9MA2fDeGwJROImriSOxbRend1/3ovuR5rtGGY8jVxmUd5GFS8bsJsBxz
Il97HNb8yQ0OlPAzWnOL7fum6Tv9Pz1VW55UvRD2ZzZeg0IfW7H5CitY/6D70roqBs992vkMJ2eb
qykuVqt/53lL+TJhKMj2QOV56qYUllaXeuKOlqLCOwyyS6wyUpq7ZZz6l8rVS5GMwJ8z9t/18lXr
lbXCoqROm3rQ1W/z/2XvzJrkNrIs/V/mHTLsi9lMmzWA2HJjRmYymakXWJJJYgccuzt+/XwIqqtE
qkYydb+02XRVmYqSmIwIBOB+/d5zvsM0DZdeMc+7ppihqHUdAPAllyvFPHLWrzbS1mRfe9l4bQOW
4yxLOTLGVdJpzk7rarTI+jo7z+NQVa+emGVUDtYQV7rW6XfT4hmPTP38ALUSNVzojktWHRaKKvAC
erPgyM0wp3cSEnmIukRr7ywwcVo0JZtCUNW6I3a9mHE+oJThJorsrM4Ku5z36ewy4qnLqCgp0vrd
doydo0R1uUlNbTXJ+tIMU1N+MFtjGWJOFUnJkha47Sqi3oCtoA6abhaNDb7DggRXGl1uvVXIWTV8
3Jovi2TPIK+U+m2ZtW4bRJy2pS3Cac3qYYo8NlxHxRlzNb8KJ1TmNkyDWSV1ea38hJZONEwcwMR9
NdO1giSC/DyY9v0E4uclTUu7TeOFR4XxDi4hq+nDWXatO+5TarXmNGWTVn8bNmO1s8vQZdVQDDpm
gI+JbjITOggEXGMT98rW9OK+mETJ92BryLgAUk+QJpkqyZ6P/7XWAk/nOg4FcLtAZNJ5cXrHzB6/
N5E1sQ1CxirYWramkUhxjeVwkxSgY9jmMzyHq/eOe1SX7gG998rz1hlDkL9OYsm0LGx8GnAwp8uk
WCA39yzH4/OU0VDwb0YKSnmnF4Gu7GhKh6krDytTN74ttryiLT5b/tTMNeDTcVLNtTXx8VYACKg/
hggxjrVZSkdH5DCSEdDm1pU+TZ1q0UflIzUOZ4e02wvhF6zHGgiYEnXUrYnIjNJdBKyYMKEponz7
kI9erZSgOzzT4c0jpF5Ttdi7tJF2Xu3EghIooHfQtP7NSunn7xKtggkTjnMSiCk07C6wd55aLfvA
PLJ+Fv5UfdRQ/Yyh2WKKA9TCs7NDBVO/65iFV6ZHOjzGXesO8NLnHv2MDFezYyi6wrK6qP+vgjyd
7x1Uu0f60/kNOHYrKk13ui0MpeqdsGpEZHPAgFpo1WMRyMU7dZRwXmg1QtmhbJayOWwhB9EofbE0
mIbm8l2AgQHL1cOIh2nm21M8Wqt6GHJtkRQIWrWjAuWEmBTCcQ69a491nNS+/KytiVSARNOlMx78
Mi+deMmb5ksPIK4PQVhyNGhWDZC43hdGtqOc6IfjhLN+fk81uXVcYN6bTbSWWbrHPzYn2r6eDB/R
kNnBW010u8UsrPThaAyt91rNlU3D0kvMtI1oKOYOJ1RPDXe17+pTDEhvGl+QZCDnCHuB+i9Ca9LN
FEiGid6J5tZdyskbNEBHHX4rGQQCjLNKb+eVbnWlpbh/BwThmD7Q/IkaSYmppiH2GydgVKaN2QE/
BV+MJ1MttND8HTtRdUU00TD7vCKk4N5IgvOk6S2fcxV71xDyXvFlx3aQ+MGuQPPxVUNURfOwEOmN
xjI8/MrhcsnOXlH3W9VlmfmRCsa96m3PyT+zRFrqYM128dAuVnKLfDN9T3uDK+8vq0RGl0x0RlYQ
JKHI9eWjL53pfumrjI+AvW7z1tctq6lXY6IoneDBoH3oxUEB+dugaZHHC5qdT4tl4290ysE+NjbA
/W7pnUfYTu1+NBv9xe0HGOEe+sisr1acA8OqQnxZ6g6vp5nHoEdnzGZVg3A/yOdgPqXQyljmmxWZ
aposkrcLzQjJBqfhSDSeMvdMrpj/6haGxzidrZmlV8OHkYej8JA9WunQURQ0ari1JjHdpECF/Fh3
UuHtEWiIp0V6I2roseFTolLwfrX7DK5vTQH+odO2incA1NWE1NQqx+WcBMhkSgCZMRt6gSKMdsn9
WtMBCFdXgNwvZ4R/saXX+W7tJD+TOsj8kLPU4Dgt8W0ZgGCZySCjZXTUq8dqMV/LselFXHWz/zA4
/Tjxco7TcSDI6QLVZntrVYl57WdV6SFfSlQd9kYSXGtaZn5WBMgQeiCGezSEBfhj33zDrTM1zD+8
QEU5eR595EHkUfG0qGIIqx7Oym7Kcr9i/e2t6rowTOXsR3dxnrUE0s8dnavSohkAJBtASG28grBN
VVgjELlrUb7okC0cxaEgMHFbdInu1LvaKLKn0pH9ErFvUtVRn8eZ1Xf+dt3cD4u10Ia2zDa586va
eulQf6ThPFWv1lC3L/1IlkOWN/QeUXoi4Epnbvmqf021BeJxOUgt0qg8bvsJ29FA3+XXJp20U1/w
UMd9Xnofxmlsr0anw4PSe+UNfQHvqCW6/0zHOPe4DVL3szBXaydtfXiYe2WeyqEdzaiY/WWr1gBT
O0FDi8cbBv84WFnjxmugUTjVeUAGB8zf6gEXbx73NLfinlvdjjrLmXaUL8Z1o9oMzeJiQLBS8iVI
RiMUw6Rj6YQFUvtV8g25sx7bjj1+9Cn3D4adGJ9blPEvOj/ihJrkwmFFeMEL5N9KxAcHMY88df70
hnB6vBeTrpLQH1vd4DlY76HZ4L7vDbs+sB/0DceMwYrJHrqmi6bdLJ3ZfypodsS+5KDSEcG0hjIz
2mfSKuzHIrPsOiKkQjsJ0cAkDFGAlpb1RU10//tdKegH9Z/ZoMp6jpnN46564UQL1O+ht4fWdj6M
Rdaxyg9w+NBM9R2+bMQLUhV1x6yBQWgLBgeJjzpAitlEXVaryzE76VNWF+sJgbkaPybgb50vTkOy
yrFo/Xq0o8Tu9VGL/dmxl57Fq0Rlw6wN3UYRGLmrxwgCjZWy0dcBwfSl2+vyNClJFzN0TensbbtZ
/F+BB40sKp0oK8Avi+dkOryUuUE/EWvKTVOENlCzZ2TSlPGovRQebR4a5PW2g0Q1E+1XvdMUBGoG
rQgId4NYVAnsZM3TEhUTiKJN3M492DEGSYt01bvzbPkjR5jckm7fP7c+OTdFzIDY59yHlSmXxV1R
tANUj2FxwV/udGFNQ/d5KtfZUCF/CjwmEH42JVm4ioyV4Zhg3ywCYOSQf9BWuqkeVIcslbPXfZpA
OJsOxCa/5N+h0fdcea2NAwfm60INSeVGEgCGN+//fDz343SZqaHHnB7vLGAYhnR/IPfnjsKalObe
e9mKbaBRfxd+1GVQ8YVrLWOpvxhU/jiT314RGzfDys07zMj3Z/YLzTl/1PFLfIWOuL3i/F1VYzlN
z2h+8DJ7QgQ361LD8pEXDAW/f+S/RXP4f0VH/D454r8UVPHfMIPC2mivv7s7/sBz+PSG+bpJoWn8
HgLx24/9hnPAO/sLdiAHUsp3bANf7/L1kjRnmDYRj5QmPsqif1KHCRfW4e4EOj/EE/f7kDnnF4Q5
CMYR7OHFw+nxd2gOP97JVBkQVJhMoXfZSD9/sCmtoHImbZjccz2DsY+aXE5nRtyji2u0G3793YX5
F36gn7yD24vBoOAoBHvZ5eOaP460U0faHONH+4yEXbyy6plPirL7uczH3mX10mH+8RC8BXPRH/8T
L70N+YGL0ob62UObawy7x9awz2uAorJB4YapXKEhJG7HhZro0zoOB703rWhIUDD/xeO7yQj+Oczf
LrNnYgYD2gEv+l+Ez1l52gSgSs8VZo2cxYxVPNLHaRVXebu9nNxa1n/+kc0ftQ2/vSi3CmxLFGN/
0E41AmJTKgLz7JiN+dQgJTmZtbtiZ0B38CxGx7+xabvmKCSnfmAmMo3v7ua/qzSX69C5UIeElxby
CMwvTXbrutpvAHlolibOTBMbliDAxnzDYoaDMOosllVjWX/ha/px6fv+MbC5Og5yLINIlp+kNf7i
W5P0MvNsTBr3ygQ6XlYw//f+II2nKlftNcX58P7nV+8nEdzlGyMVMcBGzoPB//94r7qa7hXS6Y1z
YczGU6NtED+vyb7phezOyljlg2ML444YmYyhKQDBw5+//h8fTM9ipUe5pAfcNz8/K3MQUG4zkj27
5EA+5NsDQ7KevE/nzvgLvd9PIpjLFbYw6LG3bLqbP6CcKG5G7E2Tcbap9h40kTUliW/bZDtBsf0u
S5vhoe5uT+emPUeawMOiMci+v8Bp//4HZ4NjtYR3sEFMfrzwJg2WAGitfp7GjofE9pKqvTHHWqfH
1pTBf+Ih8Vj2eC75r+eYmxjpd2JHQxR6rlmzee5pYMQNY1uGm0ypridPx/7bF/bJmoHLdl3OXR5U
kB/rOWAUpQpDW0KjgIurubPEyw4Lcoc2g45MOQc74LVwOLMZ4mgDtBL1qt/IBeiNPlV/UY5cVEo/
LS8Q3RlZG2wVAXfsjx+iwMvGICAwzhCAdaTXHiTJy30jx1q8XmCblb+w7ikuYM1pcpcCYKB1qYLu
KFRNKZ2Xdlcd1mWt+tjAOfrOYE0+/PlX+y9WQY/6EX0pCtMtNffHt6lJE4FQYhtnB2ZBzsidy2yI
XrwapGY+dRWq+D9/wZ9d4jQvwAFSglvoUzYp6U+vWI+pWRAtN5wXCvJrZ6ydtwRcNn9BRR9OxKjc
95bLtC/JE3qc+lxkTbiAXXzMJ8QVtH/U+I53jjtdZwXQ8VK/5qgnbyD5tNeXSzSwa7hAG8HNDkyD
r5Vh+Tfwi+2T6fGBVjW113/+qfgEXKjff99s1tBTPEjpyHo8dHI/XsjVLwOvy1V6bvkpsg7V2seF
pxUfOqtS47GZs3mJCm8u8I05NNgiBodJtg+APG+cUYSTkUL0FpmFOe+QAXj7mRHteMzcYTJo/aTK
Ip3QSdYYdUyAaCFbtI9Cq9Mx1j2Qq+GSqsyJKFezIcaMy5NRDAu5fXXmCvozVUuDQzRn5O7ZtT/U
xY1Z++3dXMB4jf2216dQmJX2gi+s/LDJ8r/o5QD6lzqAmY9a6SArcvneldMq92pUWRPnI/s32GxU
paikCnHfkSZURzILyMW1W4JWHCYEXTjTXhbPE2TLJbYSz3sMgo7kPZwDpYvFYaapVTtpvyJhDhSe
vNH0PwMEQaTQ1MNYHle5Ev/XTZPdnxiZ59opgeZzY6YTIGsxJ1cYToJHtcwGHWrcRD05IZj1w4LQ
UockULPMojpLhbiHXFnhlArsLMEZuwTPaTax7ZbcI56aNnZcq4Jdx5AY1+VGMfeMEaIfmVXO2xDY
lAmNz2pDCchCPAt2gSFX/Bhnsgp51UZT8Tni0J00mI7c+KSVTOzMRmYQibQ2EySIKysF8XPrWm13
o8nAN/apauuMqWQu/ZOd5hl2oGD84sM2bpkhZfqBUKkeVW+d3vWm3e97Ortt12JCgUP0YmD2vDJn
X8boFWnB0LqInLwbDh5M6T0dhvbXOhgweWJBCjtXZO/cKPJrOiXFGDJfbGJ94uuJsmSknZoKJ64N
ppjcWLVuIQNopPRDpYEA89vx3SZcJyKyMxVPmoPB73puMPjYV02D8e/JmxMmYtwAIIg9VDGkGGAB
VDaySHihTgD8pcQgsZg4kksbplK2TXmw+0B7AZnxwkDOtXi7ZcFwWnWqJjpQ34qf1ZEPWHK40hjz
22s9RT3Kaq/Zb52/IK8dAGHTEkqT6qNEgM3Im37HHW1vi8xLD1daSFJWfsgVd2WY+Qhs9ogq+TMQ
iIlXgK58s66x8qXmRQt3W8f+uWBnFiHJz3z1qDVe+9xOz5Pnr2O0Ktd+S5wFQ1uuU6+Olc9qVC8O
btY1eF5o4r8Pa2af3Mll4bFZhzy7DnZ1nyHc6nhC/aiuLf541Tm8OU4ccBKxsj5PLj3BUqGOKpvS
fOp0Z/tNbRXcjOPM+sxylpBiaQd1GhvGyD9JQWIQdppT+IBl4B9gCwG57jtcHNSxfKQR396Ar8oo
7vBMscQg2vJv0g74eOC18gGRLZt6rrGiXtZIajj/BvkHz0RBWELS+iAJg+1SBr1tPA3DxC8v77ae
JkCbVmfL+5aykxBVJ1f3jA75JQ5Fm8RbYo2PaTrjJ175RmYApdcKMujTbKxg6sxCPUz0V5+tqjCf
isRkex6lWGK1VY/K5NqD+OVD8UjySpgsh/e85WYotl/RNaM/mxZUnzpzoDcfi+0u2MojUbHbdkHa
vRYMPy20kIN6uBQKK/GZBLMWlftmSur7Yqj4ajvejDT94t3GpcK1QHJ9aslOutMzHmkXTN7d0Fdl
e8NtxHdnbu+2aTs2nqHtj0PCO9ILnSIcOBsUEKMUr/Sx2c0JndL6XQJ47M0dVmYScwvDl0EGgykG
FgUVVNsuSt506Ebq6FLgTFupUq7F+P798GNtezLAgg1V75A/ENlaySjXY4Jl39L6hHpfO/YbdIC+
OrDt8AYRFRRr6GvNUuxomSafKy3jxZvLI2QQ9Sn3s+y3Moidh1bZcsbONbxXwcB3JODomyN/G6QG
G3BjO6xt7XZUKTOguoYyKAyAPZxcvum7ZrC8Ex+nvbZmzX3I1aRUqGUV73aeSO5bFnZcME/U5U1l
3OkpsadhaU/8ycVMuWr7hZpuxZJq2bHOEs6ABt5Hhoub52Ln858bM9lknqNdcs1GBirPpJV7T0VJ
wOluRHl3AIfEPVJlcGazeuGaIpbj818WgbKy5IMCAeaT5gvN1VWOdWKIygPnbi8Pbt2P6IBpUTUa
4rUwyDcNUr5Vyn0mIonFt5qb8NErNnKuw0IJing5edYyJe8lQpE3etg8r3qFD8rMV82NU8zsgIgG
3snlTrRlYQzXWO+3e4MafWf0FYsPI7x0uA9kYi4nv92+oKKzWZpoS3dHQF3Bcz6uEg8+x9FhtwKo
QI2D51ygXUnrR6UDhLeKgrAvzecMEBQcQxABGk+L1XORsekYc8g6H5DElgfi1U0FD3pnLJJeLZ+Q
nYgaGWUMXdu2zw+XA++KIut1NSwe0ZQjas7STfAYR9qnCfvtU0tGp7UbtyptpZdI92+7Oy/bpqLd
uMSi0qyTBY1hDldHQM81kdMVk1nH/TRxktmuGtNtGcQ0pyvQENvbyVw+BaQu+01MBJtFTQYLtSKu
40FflZXEnrVa+2moDD90hpTlKC95uEzbZ3XMht4hZJdbfuIGJ+ogyxPXQqDudUeExVW9w11YOQ8M
A5o+aha7XOnJ686bjZA9p82fwGqVOsdWlBinsmu1dhcEpNNd1bCC6101ZWb3iGRp4RZJSi70um0u
2Ky2tU/Cazm0qcEiTymSbkdyGwVFlNXcE5cL8H0t2g7uc2GyLmwLa5967DiXezeBr4GcZhSAZrxc
fe7Zhs6X+xNTQXIoaAQc5qazMZZOPrcIhpb+aDN1vMpS1fu/3RD1UvvfhDczYK6RtBw1sB+7Cj3G
W+rSS7ncFUQ78FCUBB7fAfTiQe4aA1r+1m0oSSpsIxrUyDpGh450pFbyJxB60YToHRIxw3z7QNpS
c/flPTz7nl74cFAUQj2yNJNoDpuPwC1nPDmZ2y6xUaU8WR4omweThq21B7Ul76eiZbW3cuOD45nr
mZM6N7WuGcjMx4VF+7IC2uVY1nGb0GSPRlAQbN9jwVWyvIXHZtuAIPWk+NQjJhIsCu3mK993Gjby
HQkLvNtiGnnMrE7xuqlQ8qFWdu+G6D+C50AqCj8n5XOTK+hzd5s27f3C7iWqdWohDPyGj35sJOA+
+2AMKK9PDcvoHTN+3oXjj7xCmrfc7bqBC+xpdCaKEMYfwbO+iPyASG37vF6w3ON39R4nX9YfTMv5
kqGGRtxUDEenQrvlIfe+XtAsfUstprWYAyAsuRypo7lFe25JtsciF+xIiOPXaKTlCYmhUO4z3iKu
c45Ni6BoBqcHArmtvd74ag6ZiaDvniXJpvi4bi0MmEbErlmfONnLY2OIhiBqIZrbpCVDOZDoEffM
KVgMKTLRhQ3m6O+kHJCRd9vif1UkKY1IQkuoqSa75QRTNdWJaTddGLpsU9RVEHwe08Lk6+lrwV87
JiNM2AB23dMBBOJmLSw4/bb4dzM1DjZ/+dCBHXpA4HvxbCCAAW5zfTkolxWr7GIFPKoBvD8SVbYE
jWT1aDaZLfWBnSy8U3nZTPBFsmI5eVt+bakx2V0CwXB628NxnibPiOW4gy4HwxSRpLgCBo74th9Z
01pSDJJr+mn9kQiX4Cbf4hAWQdJMKp2AxK1xC0IhhQG8in3iDMb3SkYI+2e/xdJOdcpqhdLWfNpS
tKPLuomRg8UxYMPcqa7hmai2elMkgc8Y0Md+kwjaVwuymlcmQVAKRta9vuMRYgpMkZpo5ZXWOns3
3VbmFaFFF3G2y44m076v9uzqw7UjJp64ETFP6JQdBOrvFUZHj0RjZ67LxrdPnrfq3okDmxyPA+eb
0J8mkKIjIKCKpCefs8rovOnlajwBGKZl5yB2i+jzcEm8QmPbSBL8KofaZWNx4Vs8YchhCtl51kk4
kudhTbfl4FIyO3r9zU1NCdC2qXUCNWvsvphvzD2vnD1lyPg/yi2oJbNV/lFMaRmjgghYnTnt4E8g
+AcrF0wi3DmI+e97zSWfg3K68XdWb8mjmTral0lYznsRTOvXiqryG/mVA+X2UqUhdZVJ52LQ4ZcM
7aGiufJi83b7GK0+k/quA/q761rZXTmWzO9yT/hxWrj5p1qM6aNLjY+hoyaPhfRiHdQqYoDAEsnH
TPPKL22n+JOcRs8HKuUmSO9XPHdYMfR0MYhsQhMSkrDjvl7aCn9rwvP/Y8q4aTvun054PvRf0x+n
O7/9yO+mO7AQOb6Z9GS2Uc4P050NLotri+x5PNW0mf8jWNL9xXTNbSICwRGhhkkHGFfemP2f/0Ww
JPqvzWwJKxfoqh78nRGPZf7Yd0PXZDPwoLfp6Kz7Pv2YH9tF5TCt5TIFOe1a+l5BZBm6hKFHR+QD
jhXbPtsE0A6HtiJtak+qqhE44YI4lRDluV3kXWehxgk9+tGovPJytB4yH9yp/ORgAiz1yC37moKk
KY/p2ujL/ch+806u5MJa7A1N7qMHzNj7zMloU9AVmVn686EN7HQHc6y4qovG+LZlZEPC2gBYGmb/
SLp+euXRleTQkq6RHL3qgdiH5JAytIqtoNI/oNnDnAbyaAL0hVqsDNdK9EyOLVv7iHfvM7iiLK4d
jZxs2ml3bjbnp3xdixta2vnJg/Tx60K5uLN1gfi8b9zsoff8MmO1kOp+nkApxMJc6n5nCT4xa9rK
bjV0lYgDPcuuu6REJ4kbcEwX93O+zOPHYXaz4s7BexyT7eB9yHvdhvmUg7uOKs4DEQg+puh0ITEE
DPqYKwTPIzJDvgn1kigyYjRUxxNC+iR9ZA6dALQBc0aSMW//lEOBvF4XKV/sPDecg2tL/ZQ21rwL
XBRDEYSUmtAc8N1p6OWW+KR6iVEq7ZD5Mwevr7ShIROcfoqYIlyjPjlBi4dgqLK5JYo1J0OZJOFh
jQtnGPrYrTz1imywc+/5JAiHkRXWMkaOJONcn+iGbN3PWiuyb1hjbUKA8vI4AADaLynSeKfLSc5p
M+/crTZOiyYr0xhHf3suocddqRZpuF53xhlZ/LJDpOheJban8N72jvu+7Y2x5KGBtmegL8++N69S
CF3AKhtN3NiX/pb+vdlllvZC6ytwOH/5Oy6ELZjMk/l4b5dd1p7WJqdRp1s0ThsaM7nbh1M92DdL
UoK2AkGH45rWmGFbICxWrt55GtJN8WDMHsjnhnQfjy6aeCbzxwMFvTUd1aX/2F96kZaUm1zCRAx3
BYew5/wn0uy97jwliLQBkBoCGa21m5me1oAZTaIq1/z8Zt7apG7SLG/m9wbq1ktVAjrLSV4arQNa
PwTOcJiyIyHhZnsEbF0ZHFDVSErQpXer97UHuyjP73PJfCrKuhnlb9tD8z60ie9R7QmVc/4uWtws
grpgvkH6NiGU12wraplLWChE6tmI9Mt2U1y2HveyDfX1VHu3Ehf9XbXtWH3pEXGcWsSIM5PQZprN
7HCV5uV3Gj3peT9f9kHmeexk9bY9mttGOQayS682EdIqx4KKfNK+aJddd7jswD6wXucOWP2w7keI
0Uh1obW/SDp9duhvWzsOPLM9YC3tcbHp9latayhdjqxE6hHxqGxPv7WYqgq2WaUTDXO65D9arei/
LZr90dn6ZFZOYNnjXJqzOC4lwqBTj3Qp9oVmgC0e9NsV2sMZKc2W2QTiDEZqymrmTEjUS9UVh1Va
/lWh+Qo5/KJJeSMNCkrPQrUX80rlwfeTYVcZKUV4znfVcjRYixgKo3XWhNLnvQUiKXaDwrxuXQ5Q
lk8VtNNyMIzw3JhsihWBIbZQk++5tNPic995GO1QB32k+TK/DrpENtm3ts2zhmIm1gokXrXhohXq
09SOKpCvw44Q97S/5jfYyGs19K2hY7pC0X4muTq7sgfNAV5M39QRelgoMgpiOSGfNwkQ4Pzh9qkV
NrNAPd/1VrtLxnrBJUeFT0MIy91EdBUtlCeDM9LzvKyfbG7hESTOdtKEmmgeXbqmZ9fJjTgdExWP
ZoaxOmgQTDe02neVBmqQkKpFPjTJYN9VpLvRBQfIbtwu5LvdruPqFge/a5HOjfIlxbNNm8LNVyM2
8qTyo3nWR/yOcyGn23o7Oq3KGB5qlM9gv9i/0rMh56Q3w8Ku1KqOteWNnoN3A/tRcoXOd/HvbJrC
36dy/1NP/UVet0Gwwe8GWn8QzPw79O22efu9Wub7j/xHOaUjfrFBWzA+YnLCRPOf5ZRh/8K0ZZvq
4eQLGMz/o5yyPBQz/JQPtuTyb/5ZTlnkooAG2MK1QckANvk71RQg1B+Gbw56MYf3RUaVqRu8vZ+B
LSznAze3u1D7C+z/LurcsSZzkEzRVr9uxezzPBWdN67ToQTOV+ufMLEjdis51w9PZm2PxM9tKi9u
fuKexFJEHl0X4T/mLiJgsoWmgq2KvjfntmZvA7SvUdIH6lhoy6KhzQb9U88npPX1MCPARfQ6itum
UkUDDDH30REzfbshq1ZetVo96yeCUNWtspPkqbA6gWvffSGwaT4s7extTFW4p04hboqaAUjNc2SE
jsNIgITTtYnyDO5XGJA0uZ1s6RdD3KMdUXEiA+xaMZhat464LkzU8M04zLeEJNByNbORkM+ezizT
Nvp/1aGRRISyalVEbAZtfnLrtPPugmAk2m5QNFcxVKOGZXkaD2NfUgVpG1Y/q+3yKJJ+2Rdr763o
yRv+YLTWiWSDT+YPppM0r+OijIeF3BJKy5HJZzYMcxrSkMFpNaRqDYeyZkzqdPPL2NvqOVlbz436
tBPyJFvYTij5HT4oLozJfCGnooOCahBparo9vsBy3tHT7IxwMPqbBZTr5uoH0kBzmsZgXi7OyU0G
7zko6LDT0g6GQ17Y3binZwhlYeZWj+FaK/3cuWTjjVpTH0jsTOj4OxKzaDF6rJoF8ZYOm7AXcjQg
i1WfkGNiVauPELXQ16Tz5O/NZVl2y1i0EYCSOd0rc2SiyjxNOJHBeOqbl+T62+oY6b50eBr3ZZIz
3CYk6q0mJcjcB33tHKZWikej6bNrGLPVSwu1I0z02aA40NIRMHKW6rHZex9g2nGwNbNkhxWV/hC6
TIObxpDGvEvTqturOZW7zOuDD9Lp8E0nPUm9yEuviFGVXthadQm+18KH7mRT9a4XWnsC6mSeRsZ2
MSFIya88DVjCQbcGnxNKkDxUwziXh3TszKekyqfTspU3eME8UmzYJx6Rj3/RF0eLZ+WvMREZiMN5
AvJT62HnwE3OLhGliN9uarciejJz/FdwRuZhHjImxuz+hhE7s4n716w1Kx6S7glQQn/X+fr6uRrr
JAZYqZ7pgNfHZAV0EmkU5kUoNHbZWWjkZ7ayuWOmhhx+bAsCWM05TyIHo2BsZEn70U27MVy0oDnh
5E0/jd3m6keCXj2UtjCjYcVjji3yMLaQXHovYYMGJaifnaybIgW5Jdi3JCXSz3II6bq+GHAmZxQf
+joJ9mzP1dfGKBUDBtJK5MYbmuk2hk0yfkHUYsf0LJeIwal93HCy+PPMN7moTwANnagp04Ayfkaj
UMYoufkeYeR3mZjc+2VgY+Rl4RlOqv+uhPufXfEvd0XnT5sM/w6NvBnehh+3xe1nftsW/eAXl07F
Ji8AvLFtcf/YFgP7F4hwRE0hBiHOxwnQg/zWZbDcXxx+BKVowOHfRkb3jy6DZf3CBsbvRh7DIGUL
8vq3/42UN/3a/qblHH76+99nN5Jd9OO+CL6f/4Hc8gwDUN4fkkAgiZvc1ow1nMoH+eAA3+qbcT6s
oPuvKuRRx1Vric1p0de8c3jybhxO92wphrE8tO0ETm4Q2lvlVRgCaafcrSAMn1weLGpV4ZLkNdje
XVbNw4Mq5vypHhygJRNH+jp1jV9bRom7qvAK0hVdIvCQlc8sp0ep+X1O33CROKsmsX6BuExJnqSA
XsjANh+hc5VXuB+a68SzqsNkDTTDx+a2dcycjNIEwXxBoWzMA+78vGZMUNP25NSUeldQVqF8JJX8
0NIgOIjKD27UkM4col1pnqU2BYBkSv3WUDn0AECSM1NZq9ubHjuL0ZrpixHkwZ2hlfeGxJCW0ObG
KUXMvYuNh1FMAM+oE9Y3SykcQLVyI9+YyZLs634ExsSBliGftbNsB7NQz0p5cCpdvC/s0XtamQTv
5ExqCdIsP3Z24RIOUdnFQdSyOMLxgfZqL9icPWVEI3ORT62fJ/hJsuU8kjr+JVCLesHDZ51TCDJH
HPn9nWsV8oxYk+4t9qU9BuvpGt9i97lGp0kYdOrtxVzNB88o+RiU66FdNmSINgu6Goax71pgbWMd
FVmBuCZ062QDd95NYObhFrdNPDjJbV2K+qT52gnrTxkzZeBgMRMC3XWz8y3FgYVLbsyhE9jLgf5Z
grI1q+/JwlnZ3bSivMqQ/2s7ay2ma2Gr4jllKvnqdS4HudwVmKDd5VHMS/cUkIZ7u+qufrtsJ6pw
wtVObr093BSTXj3arS0OmFLMIFxgwR8dWXn/l70zW47bSJvoq/wvAAeAwnrb6J1kk81FpHSDoCgR
+1LYUU//H7SssSTH2ON7X4wjPBbFXlBA1ZeZJzEH5EKc1ewmNxy01HZ2XULtWu2593QvIYTSzO6t
k1YMC/5Hv/PR4I5V1DlhkCorf+vBxZ1Ciu328G7EldPV+a6oHeKenpu8SDjepxJ3zJnojNpPqJgn
XRvElTnaCxu0im6hALePHPfwvxRtfii0nt7rcImml7Z3MmVt4nE2nBsZWdkBIHm9T3EuFES9WurY
rdi+zevxyoxHi8sR34WmdwSjou417smVMHvKjI1Zh+4rqJCvtkTeieaaU9lc2HgVQmvrepz3Z7c0
Pwgre5tHUUeBFlnmR9crH6tBqA9tW8+E/kr9XMWOU5K+gWFLQwFhdeQK/RQPhs3sQnPkK6SSFLtU
JlF4hfDfyHPEu3LghyKV5E9eohfBIPA2IIkVV2nElzgi6+F4ATLgAUJ+4NzdEXOlm4ezsvGIWf/A
E8w5VmSNSniJyCZuUQJeTbOzMAwmiWG+d+axOzqhKg/EfIik1D0d8NwsP3aVz3QQ5u2W0LNcu21H
gL6c0nsm/tZXRYg4ENQ8ByqGU0S2M3th2Dg9uWWtnWuzQNwkhQdQN84gwjA6vdOaaTvmjrySDem5
wPe3dpcWu7AFKYJ7MQeRcWZiMrxo9AWC/BfYjnXo00yk9DbIcRmcSn1o3kRHhjK09DX8AXdH7nra
DDm2aDZfwnvpKDfEo6bj7CTxM1ecr+foVrVVttOmDiLaPNtu0AyTs8RpIMZG4bzpS9VyhKj63lv7
/vAUqdnCI4isxQY/WoZDbYLvtW70K3a/9c1chvC7De0lNTMU4ShiN5TkvrviDqBj2imdINeSZ2AJ
+iHXCcyxr5QrM82qzzkw5Kuwiv2zTez00Lb2VKyW2dU56bQMhlkZ2Jx/Xh1cC7uUo96d3jpFF9Qg
BU6DV+mBFxYqR4XOnQ2QHdRVnhonBVvrufGs5LpQwyefqo89T0SFZasdTm1kIZEOY3rdpg5c5lnD
AIu3765LQ3mT6qMk+Zfk0B2KelMZbbQ1fGLjyozrjd1K8ZyNBSOMjnfZhB4t8lNqflVu1GOG8etX
S8jl4QLW5yUu8uSJOokhXzlJ5lPO7kc7ouxEk+doDDQjjO8MbKIriAD2aojk9KD3fPRlbKv1PHf1
psUVdOUtcSd89FV8K9x05EJjQ+5rlg1USe/VjjFLvyOm0R0yX9VPObJ9gol5Q9uFussGYW0Y7EHh
mDtdEa/VSgsGyLR1ZDWcjCEyj74RZZ/Ix2Xr0XS81WDwuE1Y4lfUpdV7uJO0dWSy8T9mjpOsi3LU
X/KwCffcmeJD2Jnr2XTsO9Wn2lsND/NYU5e0hbzR3hoJQq3NVGULkq495/PoPUWjF24NXeoPzN6J
b2Mp0yCeaM5WcGA4NbP8XJKHfdNVz+2/bzpFTnOyaI4Xo7FW6Jors9WuEMNM0tAl0Ah4wUuXp0YV
dQ8Iq8gS/bycHnj2p2n02DNyZpDdA51BGfC7s4xkvq/QWwlZ1G6GRtBizli5oSfffQgthyGPzRWt
Xdp1AgAGgE5xNyxaRmf3H+3GjhZ3KWFarx/7z1nnfISF86qH/bubq48elrbSIJcJtr7m98ni0JDP
3dCr8mjKqD7Wses+DnVmoqKP5RttndNzE/KDQ+loXOrJzDn3WEe8i/5Yy1YO3Y4TNUClG7ZaBDdX
kI91e5OYVWcRz0/i68m0XRKtU+/dyQ6p8KV1wvc+mYXHmW3ki4PtZtZbDUhVwOB0B3m/VruCRN9N
Ukut+lhzA2Xv5Q8w1BEwZEYp0hH3ZEMqLzUB5ojsCgtweeybxP1oz7b8hEobpXchZssrN7aN5hHH
VBzilcxyBgQQXBCO6Zuy0y9ePLXaky3Dyd4YMeU6cOFgFR0k8/R1qenzrvGrcjs47XMLtnrVTFG+
puGJ5HJkPRNfG/cOugkwp64/8SenrQ/LOYDKc0wa67r3TWLKOpL1KoMQ9QFOg7ZnL/JUqjjfxI7p
HnmCgO/XkgjIW24EUWnMJ86y8tTwbR5Vx2ktTsbXBdp+bHxHW7WW1u+McpqJuy/bLcrLego2RHOV
JIcs3ML+pb2kCrs9oD8ryKSX7Fq4LMEcWudCYYFOpRYdlBV1B/Tf8NgUZnLsdHBmRk4xLsy76zh0
oA7BLv7UCycPSJrPu0QOCWlsur4Bp3G4TvJqM4ZWPaGQZTzIwhpME1/zvme0grPSLHbUoerv+NnY
RtcZJt6ESY8wvjhe6XjPrd6XbvvWW67M7KdQwr/ogkTmSfF7GvHfQ9zfHOJs22ca+J8KrD+NNoNX
GnthliQ/TTe//dT36SYjTBIApB+WztXlsPafY5xBFJAJpr70VnlLvx6Hv+9isclZDecyEvIyoEGI
+uMYZ/5mC/5CUh/fZp//KA/4SxYIrZi+YNMgfOsKslYI3T9rxTzoqhr3+3QqscRshpFYPAOc1IUP
6I4DaSR7PqYT98eNrmcdWyVreMqsltty65fy+YdP7/dD5o+HSuPn7Nfl1Vi0Fy+BW5099qLT/5jO
scq5zvy4H9jS4h+LMo6Eq96tkCemgV3aahit/qPLNCZZNYW3GA7ThiklLS6uRZTeLb/4XYdQjJ0I
ykWeG0/K1jxjNzt2+NWgRGb6NvT/6Vj84yu+5IX+iGZ8e8UkDKGHg8vXmRH/8ooTUggkC7qTmBiq
rB3Knp4GvAFiy/aMu9YwY9dfJzx+ME87cBLmTBe7AnuxAR8K1zv3zxYLFUXua8T2CjRKsfgb3cbO
6E+p0vgu68HMtT73nSVp+aGN5RXFUPa0SVDRbpImHoq/CaP9+WtAaNYx8btkRBmS/ZI3QZCNcGrm
7Yk2VP9DFZFl5VDHHmlVl2TSOFr7D3Vo5C9//fUv19qPnyVMMvYbrvBNrkX+sbysH7JZkK8iq26j
8nQJQlB70+MAbigSCuMPf/2bfg7U2NyCXZcByRKBcwioer9cZzWjUSWZbp5gt+LzHyvOzGHnzVjL
63ijSxpZAqHPXhVA5RyLv7tolovi5zfKhWLaJsoyDklUip/fKEaQhHAE+Mblzk1/bm+/ZvnyGuhi
QsFDBVvNOl/9bszl5RRduV87DNQHamms68kBCBSIMQX1l7oQwURTm2Ide/P8tdaGeq1rqqD8yAfU
v7eFo/pvM73/etEbf/6iyCly24ANzgiKWdPPr193eru07VC7MfqweE2gaERojVnH5pO5RRkdxzjJ
PtO8A3hVSRpKSPhjqUVXf+9cTGfBHEcuPIZ0+Jo0wv0y2Oybjn/9FVv2n75k5l9cRAzQuLeyOtGV
frycHPxwehN34oax/OKQW3c4QndLaZu/7Ya+D0BH6OehmO2e6u+Yo5JRMv1v6l2+zGuzXBb3NRX1
08rNx+h5TIvqwJi6w+kp6ydMXd46xD8Y9JdhMOgkBsNh2pancZkWy2VuHEUGI2TwP4yTzSEu9sQh
8nszje7Yb4lplfeuPHWMorvLUNpZ5tNGMpvcG6xeqZU+eul1vsyyESmsY7zMt9Vl1D3qMUgLLrqE
sckyDB+XubixTMhVOr3Vreweel1jfD4uea+wlT1zF5PYR2yM1NG5GkN3TivhZ8J0jOKTUmqfEP2L
dQ2L7UCpTX0wpJ9/SYgise6XmX5yGe8Py6S/WWb+7BTrHZE1/1aOYDutsZFb4yIT5EwNoXeONJoF
w6IkFK1AU6j9W6YCyAx0s3R7HjXmGNDMhKSG2+dlKvT4ymz8+sEGT7Xr/VQzGXsX6tVzqmbDtCZV
2yHzoi36u/4KZ298h4eOCAK9HEGkvIgjGA04ri+KyXwRT5pFR8k7UexL/igxsEVmQWBBckkv8osb
jpgDL6IM7uowEBeppkG0iaxFvhkXJSe5iDrpReARF7FnEu507UATykOaGmRXFLh+FvLllziMTVN9
bLEJLCQhH29LVr2Zc5F2AgtK1/e1fuqyDsA4pCqpdrDUuxAodYLhMTXz6kF38bmnGEIXXYWRJFEe
3YemFJMaX5dhyPOwy7NRbpxsjPSgIV0Q3sZSd8AMZ7M7xut5yv3u2mk7wRU1hpx0x6DnWbh1tDgN
bzk3CicKJFMdLjiRtcW2zJPGX0HggL+0mRY3mPbNGTaHKEmQ50MmobFPPTmjDRfvehuyK9hyZsG+
6ymbO2aJIweXUbwEBIZ2Jn/QJhrBhSpKvHetH9xEX+uV2UHi9nrvZF/0+PJ3db6cWolY36KvNZAr
o9ilg6cdiK8ToSqT7Zw7xbzX27aoA9uEBhS4bKrzXUMDnxbwtZrPWl1gEoANh8Gb/+naLaxEDatA
V5bPaVH4xUE0fpdvMtpd7tWSBtiiTZnGVTzGrcshMUbD3IXNUJcPPIzFEcyJmW37mlewqbo8UhvP
mBTjlHSux5vCA6a90VgqDZh2oz82wrbzdRSKqF+71DWgE7ot+5NS0ZD8FeKMz/yKF1Cg1eCEOxjI
Nnu4IpmDzyqTYp1USbhWfZiByBmb2qescEytQNAwo6ASpUq70okAbo06BCfsxr5bb4yZRr1DnBjk
CjPSh+g6/LnVMmcuuXwiIYNpTCDAAS/UPjXAe/BbJawj82RgkWJO5A2WJh7nfDT7k1P7TKNLIDc3
dl/ySIroP+AHfKJOYktzpFGS4MjL+EiELp+27Wir5Mroou7RSk371Z7CJUhgLOb4nroEHGOOQhCG
VrZkjAStvQGuvk1Cc+LHfMTdv0qjdHhobWf8XDexAJM4knTwMtyNcPBC/h47rzBFlw1JL0CUwjpj
LTYejYtDeeRY7THLnrHk09OWJvsGnieTezdqzdtEw9Vd6nK5ONN0CS7mbdzeTbNFfECXi8IdjyUv
rALAbFzxBCNAAPx6oTyNHJBhaeAw4sgWmndpA2L73vRKHyCBlY79DRHVZfO5pE7sjNj+pmJ4NB6q
SpESnMyiU1Ci3eXNLy995P7E61oMK5Zd8i56ychxFZOow4meDSydOmcwcC4plsQp37MriPhv3FPN
jqyANKwZ8JGoYyID8dgs7hctJqHAKEHCDF1cp5t5kOZy02AxBbwjbiAQE5d9clcWH2Ao+kdvoKVx
RTdjxnWxJIzGcjHmTw15ANFN+L8jtrkpxgZKRh48nhY7LITG6ZJ4s3QTSYHepsQ8Vl7k91d0wQOw
mhtXQjp1Z7GrTT5WDsFyfsvyzL6b+hbGm9TnIXseMQC0e9ipxfus/OUewnE1XnMOwM+emHPcbmun
8J81PSy2xVhHEmYut7m5GeP7BHP5FYDK1F7bZmNSipXblrsCmet/wPs/RJvcLFkmSguFf7DKypBf
sVyTyPMMLqkN2GuukdSGtriFvzhseMiM8spoetMJQj/vBp60YliSEzL9hOHaf9RmtulH5XeN8QXG
/dyuCoMAKwhtk79qKoyFjD5SXXKo+VoY+kFvouN1GLqbaXYhCw6tXHluu7cKCEd7NS6NB5lutArp
KMPrVDqTda110Ps2RBGK4SqipDQOPLst4kd2Iu0XnTwYtQdu0g5EFNsRr8c4eJKnwCwfUNmM5MWo
mJuRiGIHNj/VncBWRhQUQ0ZMRWx01MJ6/Iy2j2svd1sHfYDqlzNTm1Dtml62ySZRi2UjMbtU3E1M
eOxT4dQLtbeGAnFjGTF1BDO7m3ZDapVvbfRKNLpGuQX3jrbNN8YkpmY95NC5d4p+X14q7k93PYcQ
CQPmGo58JkxoPKYxWjbLISEYnUdFe1f6SNrb3qx9qvFwklGt3H80mb15xirLBvcJlgnek5GiEwvu
eu4N9zJsieLMEVf0pk4E3yYHBzwYiegIUbpNHYs7ENW5c6CI2Od9TZMW3WSNRrSjaGF9Mtsv+u4m
R+rjGEnZ4LaNFxPwOOn6YSYN1cCLpssEZ0js3lx2pf9OUv5mksIG3OM4999HKYdqfP1JC//2A79P
UXz9N4PaO8Ad3yTt32FKvoNGzt2BMR+nOObQaOTfJyhiEcI5TUJG4+HvLQSt73Z7/TfhwPIH9AIO
311+6hfh+6+EcEv8ySAmBI57EDmL5u7yGPz5nMHkshtKN/GOuizAkVE3sR4zM7ufhJ19KcpBHUb0
RTegSjUC8Ie3+yRE0XxMU6etV6Hbane0nGG+jOt5uLNEF37IlBlaV5JL9y3ukjRChBMyDMKyF1og
gQlve8CImxBx8sNsd+O5b2p0bM4BeXiMUy//MgyzfT3I3vsQTxgjcco3XrHqOMkD1a0msm9iPMQ+
tvjBHvINhDzZr/Cl2smqLITzheoW7Ca6e4jyXJ1Sfxqeu0Ra91mo9WrdE+R9B35a3EbahSoPRmOm
NvCjgjP8aoXR8DxF8AnNuY3fNYFauPIjGwJxM7l32Jv8Yj3Nor1L0SpuSGUZI9tka36HhaudqzId
GYAMMAkGzQT0bdWus4pajxPLWAngDHGagYpPFd1D09jHr6qOyj1c2XZjD2H8kc1HNAXCK7xduzBn
2Lw4+cNsxPFtb/cHu0JS3dNcEJEt8L0j5/Rhp+OOEmtVFM4DcXDy/IqCGhcJLSZ2VCGVK57UkDLW
YKz8LzOJCpgVXuPqAQ6F/srxmy7ADyePbN7STdoajoJgW6GOycm/aqBOrzA7I3Hqfo39dEaf2IaD
298PbiH3uL7ZucMj+EyKz+sCnxluFVjKqR9kjmrJrBDeOCGDc+Xn1BtodZnfGm6I6uhFKr3F7lf1
tJi7w0veI+iS3u68KwP7VryK1YwmH0aufxS6A2s6Kkhu521Jgp5WhYCpspxXAvrz2honMhnkkLoj
eiWAQyeeojuvq99b/pZ+r3dK0kLgkeyjYAAUBW1w+IgSS3VvZSMcbR+GXv4h7Kf0MAiapaibTMlz
lc7wSnurd+eMzYBdurQR7UXDCUxIsTUq3IKriQ3srWKSkH6QOlHb4azwylc8XJTWdbgLhuR+nN34
rqAbxsi/8O2ao4VXsGEvu8I4GWvttU6JUZWcOAgVIQRb6QOcoKfFsLrh42iPzsGDJPAUefwOTsRr
iu0fmGWyNyiBeLGLxGqxDwkxbrUqxF/GCg0GpmTHmYD4ti1Qo7V0QfhXTYCGQ9qlNJqV5fP4bvW6
YJdlhNRxZ4TUXazOyeQvNj3Bvjczrkz62W/gWSKdVhZ98f4eode+VjVFILPeUCysl/MeLYjPfTEM
FCuIBuG69BquQIgSOl0C4FHWS0Q1EA2WMGo6u6NZNMUmSWf3ICZ/vO6FAlMri2wn7b7HuF0oeeVw
+j+aaV/cz0ZpoYtXDlGStOzuNb89q5iFmVXpO6H4p6V3xsm9DB5QZa1Th/KHKknbR62Hq5mDkQ3a
EnUsmWzjocG9hp+nKBGMW4seMCclVcecELxmhE+b6Otq6LM7YZUffIsqikixsMEl7tMuusckEG+K
iv4qpihlkCY6EMipzb19oxxILyRG+LSr8VEXIl7rw+zTl2ypjZk7w44dqnnv1CCHuT1lGwK4Ngq+
VWwc27enVWS1/Q2JQ30jp3S6xsagnom8WC9ugdqK2pIjDsbx0SXK+0hFLKaR0cnJF0Yt9xQXIEGx
ShhwoVNOFUGULFK3C0ScMQm6mCK7/TWLam9fKcvagylLr4Gs+0CgW7TX0FQEjoGsBmNrR7QWZZJo
65DsXGbWV1ljvqJXU5QQJcOW05JawUzumJAMesYyLOPzmKMih0qUeeBEOZ+2KVIWqqf5eCVIs/CZ
C0pH+RK6CbaKVl7Dd25v09Ybvwy6rW04mKMAdqa+0TEGkz52waS3XvFCFbMHBSOq5yDi63+hVRS0
cK+d7Gwqbw2su+uZBqhH0zfz95ZT0kfmONaDC9f8LGUcbWZD6tu8tvqbgWjUIdWtlna8TMs2GMhy
brpx0j8klqiOXtyKV+IRuIiEHFExZXnjkaHEoGUbty1l6mS8ZM+qGueHyCjQpgtmUqduYHCBw2cA
wp+Hez3GuT+kbbamXYhbZh7dGn6b7kmyJndaBjNllQ2eS4hVRGuRdibbuy5WRz2vYdRmaXFKzJyg
ZanGmBO03X6aE5NuAmjbybUJR3nfmiHgFGVMn5Egs0CJWj2KQZhkZlLo3JA2OrJVsn2S0WheI4OO
1wofdbQinpNyvcn4HuOk8WBGg8nmP63XM+MgKjDnLn7GQtHeCbWgwdoqxNi23O15ok+vMfaXRxFb
LvMJx5g2OLg4NpmWYqZLnTp45HPXz/SbRI0wuu5Fl9RFmPSEjhTCvTChz8t9NblN8mzZZlh2QVc5
PU+iTPfSW1XFA6dn0Reb3nDkehZEtje1PqkvXjc4mzCjHox2aW7BoHExMDUNZqIonvvdqFP1NU1y
h8WZqo0oCQ98lfm6B8NzJlLUkVR1j32k1XhdmiT4d39cdkk3/83+GEYle9f/vj1mkls1r1+qH7fI
337mu86oIxkue12EaiQF8KJ/6IxLwAJ/pgMaEp3KdhmUf98lG+iMhEQRAZmRL+DD/+yScZIyNzd9
lEEar13jn4VSL9TGHyUPz/U8l0m86/HreCIuw/oftB0dP4IeasyvMETL1Md24xPwemkG3yqbY6oX
Lje0DNtqnO4wYDmJfU3ms6AUscA/43bE74huEyaDDp+Jm1JDQ6JtBtI8kUAA73mTtLs+S7sp3GVe
YifJtR2NAzdPxf8b9nuq3PldT7o9jFKRE+iLfoqvjaGA752tRs/VyAhqnOEH1PXiKDhYcFYXI8BJ
wN/hoH8kkxd2QeV0NPY8pBJDOQwZKyLt5MVTH/u3SdJh0/c5pq7YnGhFwAQNmkTeNwrEFaoaqU5a
BZm6/muy/vq/rBpTcKX/1bI5fR3/7+YrHUg/LZzff+w/KwdjtM7qALGrQ3n+wWjNRc/KEQ4qPEjQ
y0nx+8q55I/EYqQ20RIXzOEfK2fJH+G2xIlB1ttk0f2T86W9iK0/rhyaQSzaNrFY2waE0l95qJIU
mxqjMr1uTFw/rxhUbVxklos/SKcuqfTZhTdjOu8TUFyFdqjQaW0q622XBwRu1B0T0vlLw0wa25KO
WgL5Y1BXU+m4X2WTu+sEfbtRcl92EZliB7PrOFt0TQNJ6hdwvWkyh8pdhsErfY6AagKQUinXOyTN
zj0PVT+wEupv60JcFokzDp3+Mf+2epSlMfZCbdVZVxTgjcG0rDbz96W3QONZic63SFRs0ktGQooa
bfJSxrfwFE30JKnaS6rKS+Fo6c/Jt8BV+S1+1dLFpl8xU876DaQgWChts3VlPd/Z4ETcQM00Dm08
Z9bUp5pTbfLvWOd/WoCo6NzI/+qxVZZf37rkre9+enJdfuz39ecavy0JPsMB1LPAFAxW9O/zHVf8
5vK80nUyfpZBlxCjl+9PLh53NhYRYlHf0ww/zHfIODi2h9pyyQ3+I4eMtazkHxeghSMBNwJbL+bE
tv4nnAJiE1mMKhn2VRkZazOm2CZWpR8Q43+ZneyzB0aUdkvVwQea/CBjrLOapjlj7pzVgd55j97g
gV3Ju+xm6vPrwVu64DQHk0sjoHxoCE8p6aW5p2SF6h5FBLDQ19gJQU950t/WEMhQuHo/wLJxrnkW
rQncUZJFinVjSApwIoPfibBKMNso+Z0YMNdp1r4MuY9DMqkY5VYm3T/pZ0er9XVe8MczA8MgecDm
UA/NiwHuKlD2IIACcIIoQvcDfRT3qTA+Dw2/3rHrl7zCDRV1NC/RVB3gHTmDeWhXZsn7ceqJ8sVG
vjhGSly3QU0bNd4ejEMKdlmd60FzD03jQS/oOpQ9PhqwNpuoK8RKpdm7mWnTynH4KCuvgTIq+Uvz
gY/AyqIn3gIfg+4diqRt1wh0ZJ9YxcFQW5ihqVwD6UZKHsxSva1yHIaOdPivmXUevb5j48tRxcKC
k/hUOSlzcZrPfAQ1Rb4buzPUOarysz/nA3MRfiVCn31lW5KXPwpz00tekKidbK2r6ClrkWJDd/FP
V+X7XErUDdHQ2heSDR+zGcHVz6O3MNcIcjf+ow8Fb8NZrg5anbaYpQ5iy3TGW1X6QK4j9dtHKEIZ
rZDEBchrqy09Q2o/enx6gnk9w2/34Bna4+UiYVaDEd+S7RoiF0L6LEC5ezRD6P4jQ/MBIZF/FLp9
HhJeVJSCFsJKz4Yr5bBcUa95dH1mEwOz/bXe8WfJ0Z6S1iAWVrXmxoUiEDihg9qMxrEicgpUwbZP
XM/vk09ZCmwfb5WPyWfa4/nuFf+WwihcDYZWruHd0To0VPxMwafUGqQGTLdWN5QK+0HTNi+X77uI
qJoZ8I3D5eL9RjGXjOuDuak4ZHIc8vKjbkTvLHKuarZjyFVcnZ7LpVItayHifPWUx/yr41F3ZSxn
KHCnK4y3yann4yKp+Tgj8G5GyTpx3TE8jl6hbmI8+4Hvti8ulY+B4/INewTJoRk6p8uHUdYsilHj
j9ZZ8bmgXG8Dskgec3CRGyvkos2zNjzOpC3uqaGpA5M4Lw0l84BvoK63qjDNTZNV+rpgOrKW+sBr
iOIWKq427SLsVtcMchMmRcrcgIYFSDQKWlTTEjNqxVVW8h+nscxuPJOFSr8OnbgDVldMu/lGZ53o
+ZCch9g+XZaXSJXa6wZME1j7HugNj2klHDQoG3zdwEGzYxTr5W7C5LuhWI9lmOFquny3WsHb18KS
Ry+NgZHBJVBSAYd5gs/mcpUrN1Nb6Ab+Dl89U5Yi97fEX/P1qHE5Xy6A5QpniZ+ZAdJ6O3Mb82k3
2ljKV/vL19z1o2AdcBkRvuo2Q2qEr3Via3s75q0qFExqcg0mh77g7kWNE85mvgIjeycgIsiOsHrg
MCdBIToIxqUBkrfpy2vMBNPJnuydN6aftYhduuaO5TXjp2yDgzjB7qBr+8hmnVZEY68ZHfpbNjqw
YQpRXmutz28HMMu9tyCpx80BNZyRirXz45zib23iLzPGIbBa4QRQmMQaIweEVbNtDqMDtBGF31tP
SaHv9coWGy2PuClGBje3ka8OspO/C3vzHAvf2ymjnHdoc+amtoYhYGhQB+HASxh7g1Xk1tWeIwP/
cGnludybTH9i/7MsWrwYMHMj7ZG/O76zGy6JxrbO5pzOOyfUwBZijeSxM3Ixyanethiqgwy6zxpL
SIldzJpOvZu9c47io5lZAZfPmr1mts4K/sre4Hu1Shwv1tS1zHdtboFLAsHNtfAOFAt2ikrmOy+U
7xISilv0jLhD8r00ck9HS8uTrdE0b55Oh2Gp4fyppPuhqBiLZlp8p40AXYhos08F8QMaB7ahlgNc
XJM3pRA9Gyt9VU6a069Vrj7RNlcMDEo8y9kAfmk1MGVN+tlMq2lN8sG3g0Q3H23mz2sGXkDoMJr0
x2TU+QqFDuKBWbdh9ZtUJyEbV0l3F0eWs8xeoAa6zMEm0udzRhU76dkG9qUV10bgSKkd67B/pfCu
+tL6w5uV6FW/isSUvXtSaAqXkkYbUsDtf9xTZFVtEaPBw1BrK0VQpxTwFqk1aOuIR9EaT29444/Q
Nbe5KMf2xFjUcw+YB9pi382q017myBqCuI+G/DqMfdExhMkNJ5BzJpOTPTjmvInMMtTuy57tQ+w6
jz9sxe6+HSF+9K7+4o9b9jWWQ6ICLRMlzP+VvJ/7GnSSqun3oCGx6av4Pcl4uIjSe+ybSnBZseqs
hCv9r38vg41f91OWYxFlIm+iu5R0/DwKwMJozn5X93tjvNzsWIMiyb6UI0Dnqc7e//q3/eJV/PYu
cSsSlqXzACjXz7+NoxP1YuCx9/nMBbLsBHw0LICK0Hwuv+lfbfdvZlfY0Bk2/fdDwPpr/jq+Nl9/
PAF8+5nvJwCb0ZWP4xg1lmPAZZv//QRgczjg4H3xx3+bT/1+ABD+b1y6nA58sq4XoNofB3DvNyjp
NADQv2N6wtTFPzmAG/4i4P5wAkfWtR2S05Zu0BlBEPuXSyhL2ROBlAb56szxC6yJsqbzS8CkmBTp
P4awkItqOd/llamW5nA2VbirA6Jz9ZbocsmeUyjjJUx6/IAl8PUAD8b4deqcpfmLDRc2J8boUXdX
ehowrD7/ZGlgwgU0AhhPoCVmoUebZvIZefEhJvuQPdlD2vHAm4j6nfIUEZitDPtGJtUhtWJUJB4d
Q8/YEvBw11wohV1M3SwWtOZqkjwGnQIMqDbZ6W7kxZkr0Tj1wVXMeyut6e7hEFpHstKfUldqLwlF
No+RLJ2VhRaAN9OM8OixVa69tr6luBDq5tSeBy/6YmsZbzLknRqxeWatZ1vfx14x2wJYL7v/nR5l
7zWx2xExlHrRUufoRB0pnWGyq7dS8dsZX58dMekY6LqbDvV7xRjinBjeYzj0N2jfEL2m8oFRnnE9
8RBAgygHkoLoS6ZXXFdzcU0jwUuICBIoo5uO7J8+scGGK43FfknzZnP2Sdrs/Sg4eJhSTQHMZHtU
izheZ9DStuioQ5AkhBRd/3ES4SZ0carS8Le8BLlybP5qX05i5ypXvxWZpuEqzqqHqPXzDxWHuQ/Y
YtgTLTt/SoAFFZdszjj8YKCCZ9mq+o5kiKLwTDt21ixfK8toHmvgKAs3GMypqHOsNiZ9t6O9Dz2F
a8vu5C1lbc2LlXmPTptUu2oCrmxgtrx2Quo5oZgae186Hr3x3lOuak2SsR2f6JpldlqQwmeL0hZn
0w/7N02XTQmIVxfnjnb7U5FgDiYmGEPlr2KpNnlcPghCExvRwA1Zm5W4b/MOFoUXlvgsY3xTrJxV
mgzJOs4xGMGKk/6ukYKcXVQbBhuEmbI9xltYDwanOpnG1F9FZEABxjWa/YS9K7myCkf/ZPHG1+1M
uXuRpNRk2nyW1dbwcBqTz5/1qxGefXeoCIoCq0m7+V0rbaXt0Cmr8H323fEmNxu006hkq5oTPwO6
k0ekSVPj4d8b/f8ybvUNwa3vL270GAOa5K37v+r9/xAs+uLz/7N3ZrtxI9u2/ZX7AywwyGAHHNyH
ZPYppXrZ8gshd+y7YM+vv4Oyax9Z9rZ34Z7H81BAGZbFJJMMxlprzjF/NEZ9+/d/L/rMF3SWemJF
v3V9eHH/veg7fyGjw67DZHfxRS0d2b9XfZephGQ24JGWtIh3+Kvvsh7T/QvmE51XRhbwnQ3+6h/I
epau05tFH2uWZOyPJ4q+1HLmrwcWDMpTgbJT36fjwt35moXa1TgFh2SRYA/FPo/1Y4ONjwfpvUhZ
2UjpfnXxfrE/W1ppP30EdmeC9pOHih6Q1Q8foSRfrnLdUN+XatLPgXw/Yaho+nRT5DBwjWqlM0Bd
e4hfVjILLqsqZHZCMPxmMJ4kvYU5oqBD+6YjB45Ld9t64A4dpJwLEUda/Yrt9BrhZLTSq09yZORd
Un0X0UpLPyT0Apb/naRcEan60MzlLs6bVaNtJsvbA2qmUocoekGJW0yrWW/ZLGuqMc21nmINMIvH
Cbqi4p7Yj8tsF4kHyfOnsENtj3DhRraIn9yMnoyrXfJAs3lvzWbTpBfYM29YebrNSEy5oeHptb0n
YWqbJnSeca/TnUpI2LWB3NuOn9cID6Jo05XZmiGnj0r3dtQAXxHLu0HYvunb6gPvK30XZ9112Dik
wBYf55ARfZISejZkO3vmYwxtCxWbUOZ8lPouTVywCPrwqZDhOrS75qJA6UyzjkBeu+Fg8zZOzatw
yWv/38XlP1lcGMr8Hsu7zHKeSpW+3kZ+/0d/LyniL9cCFPe9Wcwk4r+XFO8vktUMSDp49cDVvO4k
s/tc5iv4MB28WLSh/7WkSP0v1hrGoyx8ODdNfuE/WFJ+qkQgAwPsQS2I69K1324jRW/Xva6H5aHH
fB37aRFaV6YaqjMaqn9cYy0UYo8gOZZRtsKLf/T16tU3eMBqsmgOjjmgmu8naPwdfPqJK3BRL5Ek
v1+r3i5VwO5wbBoGbGNWKiTyPx5PaSY9DFfneLlAEz+ghiJxYiTPqB2lecBHSGyC+ZIfsQDNf3/w
N3ZFAu1wXzs2ilG+PXiBb062Rjc3lo0qDuwc288Q+BhiZaJ3L15y+15icwJD/9Mp/1TGclSu1lJD
E6rpLLfN60vcNm2iGBtDAMjFeJ1mUfu5x9MH+y5W43WoE/b0+9P86YA2JQ2DSo645IQuYtfXB0xo
SVU0n7w9GkHQoy9Elqgl+cc1tQ9m8Dcg/N/b/H66row7TIKdcEFzcY23sWNTI+h3o8Tbg46DBd0h
sDSu5pkVHwaiXIIculgQcl2Ag59ScVv3VvGIy8oZ/AhnFE12p3Fu28kwFiyg1ZFYUkXNhRi98f1k
uH+4C9ADcwFe12k88AJTteAW1JHivgxyXmkMitxzwwQRzx4vYCjvtRxO4KkJMyLyQqbu67wOxXAU
ZYTGCbI1HhKewQkNXAZIX4dac6TZAeB+WqItzEbZq8jOuJcgZRANOLviPMYRaKheN1DBv/hRcoOh
po+LE+NRZyBe5B0YG5jxaIxvK2sUZyK6Idl0S7pgpREWIZacwAArXbaaMQBbH90eVc2aCezY43qp
sV5gIxqvCWsi7SV2CezaE+WjvUsy8Hq3tTIUt1yQ1CgLnAYdUEkTPhLiC3fpiCxfxKiLLlvp9fJm
LKbhotAjzFLMfoYVAgiJ32ZZCJAK85yOfTPSn2sJbYEB4vpjUFdPXUKUyKx0Qnj6FO/I2PfVk5ub
/TXuKzLYvHpeeN16QhCCUEQjKaJecK9SQ0JnrJ7MqCWLpdbEvdXSfcVhhC3IQ8h/KCZvfLJJIu98
GkQgJF7SjcCzcKYVNOdVThRt7b9E4ICQQYjfuQRfZR3X0Z3JkAoUIVGdx5eGzcB7pPyznm2cN7cx
VdcGeJFlbhGAYu7xRjrLRFqR2fLtXo0SSCp+RNXZXcbpyESbaAE0/hYna0x91eyaoccnpClir48e
SMX8kNZanbck1Xput2mlEb2L+sF7dCvW03WL+GzcfMv+gO4hn8vGrZ6IguPhf8m/mtTicmCHgHoz
5s4Y00r7ljWpCDdns1GVZJZ0OMnWNPu4pDzd1dM44lTzvxl/+m5xt3uRMA9dRFjHaqiWcx3Ii0f3
S8rOy/WnaWv5ZudC404dZ+25WtT4deHp55efaYOg8HMCfVg35mivca43kUOxNYSAiTCAcANHy+Nh
t+lQ7ZsmCYKTQI3IgK4ZunVaj653i11cMJCCbIrTkkwyPTm3Nfp1C/1naox3ANt0hRmqHIN+i+1u
Ikv0Zf6XxUI/DKJ1emYMuYZxrMFap+0mvSOyrw61KbglL8TK6NVatJTRJLfBhYFy+An3MYLGSauZ
ByTNHF8PE7yQdw2XP8KUBPizMaIC35Gegjh3eyTSehoDO+/JKgyb+8oMos0YA1ILoKluPTPz66ge
D7DS5LZyE/Nsucim+35g+jCNpzYsx3s770o/qoKYr12bsGrRrSFvW7xvdKNeV9Fkr6AyiSvNjtrb
AaNNCLmjtz6gEPaQI5vNYPqhF4+n3tH6vXQZua063SgRT5Tz2VVd+BnPDZkXeewciziyz5VeeGAO
ZjldiGLI+cJHYK0MRcMl7WVuP3txhAem0RDjrbm5vaMM2hGCvOwbb4U6JXg0iwakPEFBD+ihoN2p
+rkQDunrGUP0fT2YLNkkBnPTfYuZeYlAiwR/WLEuj7e85riXkRFGMUGihHMOM22FqWmrJ0u03mM+
RQxOndDNKb77HgIseK/HMWJvUUlBVG2zBLL36fAMWTV8TEDjnvLSSO8TTU/eJYq+vu/RADoEOsTZ
mIH7wa1A6hPoQSeB12h5b1v5Zo4h2jacBlgmM3etI65S3Xs3Ezb8IVeaNh8IvuvcA+6J2Rx81KTj
1lQCog7uDJNNfW/ZG1Wkx8yrggsQBuG1apLoELrePRj++jFr1fOUA6bnFhSPTe5166TjOo3E5tgr
qxLx0Ssr40OnBUDTswheV+UNzh2d7BShTD8cLLPT+rU51MLnuXROMiiVu/UKo7gaO2KitrM0HvPI
rdbl2Eg4r+Q9ruVk1A4zj6Xmys0AwIGjyY+ZMPn5ijeWeiDUy8CK7Q6xIk2kCsrt7JaAuIww7UDQ
NKl2AW+q49LlQQUB2ArfT45b7mNZuFdOZDLu55RQyYMix/gXNE/l6LIXqZbUZxP7p89YmK+19vBO
xVkjWSxkFkJkcpvpgLnLPWtLdJHKS9yQkOdxnmWJB1PY4jWY2jPrUN1xpzS4A9chBRa3UkeEA9OO
UpypyllLa9tgTU88fk9v8Gnslqiyhlgl08+yJSiRuRGfyXEnPAPVAnPHUsEtOJokctnk0+Tr0ACI
AG9f7aeoZx3srbBpdi+hgl6VaX7ilhw54WWS+4hGxmtyXnmWMPJlO2fiPV4qDmwGJFfPWA86/2UJ
dKIlEs7RQs5iGvQsuqZzyli5qwbiALpOxxdq4VpTrdZ8LkxmwythKu4IY66tZyfj/djE1uIfs2Ii
qaa6xLWYtZbDjmGirtl9+1iisDDM1hGq+WOgLYAlZwlhIuiWxLcJcEbbs/d9yeMVc4Yx0QDJVTC7
nnI5XgoSbkxfB5f0NED0i6AcQzHfxHnFuQ79zCHhYU3OLTSDrOFtYUMFzEmmC+s0Ww2oUBxk0KO0
j13aJATL1dZ0F0BOerIjwcI6KQ2ZeqWACKUZpHheGSK8H5BbwejELnchZ9PFgOk64i4rNUhfXaR9
bRUNPYDQTPP5zOxyXiy1xjhwWyC65E1ee624NyFgMQ5UI5Zw5SwxaOEYL1e0Biu5IlqQ13pXuUBL
csVSdUffkHzExORr6vLFGNzwNWqipmpojRk3xNoCDhpvMli4OlFJk7Qk14mt5Z1txlp319tjZld+
PERh5N5mKVoBXlWVh3ybV2M9YRhPYy0UD4nLbhm+2NBimBbWeEv8E3wtnWG+H2R5vEaCEKwGEn52
ueaxB3GIRT2mUkVnM2/pAJMqt+G/ej1KyztmyVxd8vXXt6XLypL2kfZ+1Lz4qLVMHvtmicmd3Hwf
GjRGp9Fh/NcNFudR2zS6A1otjneSwCr9OjdvQpcl3VRhtxU62iI1i3ylEF8fyh7Redhm4raQLDFk
VLZqlfTA5wQj21Vr5+lXMoetrQuoau/NJVbGtu6ZO5Y4/VkVvhaq/qpl05U3yuHAfc3GoKv1KwZv
+pWVT/26x6BgN1O+Hzur3rA3Du4gkk7bhJcohKtoQFIgr6SO8ZIg5+KGb5v3cjFmR958+U7mNL3g
FLS+m9ub0MsuO7hAK5NLdaVPVfhQMdB9UqVhnsseOL8PEZwNJMLyzMsKCAzXZi5u2fkVGwOl0VfL
DixYXj05JyssPgnBC4UzINohb27+YqE1j86y4xHeIleGcJBD6yzZaAM88TXewM1qwmPBChLhkP+W
0O6Agjh1taEdbBNU4mVDsF+1wt5FFpetuCPnPuC7x0WHJ3xKhwTJENvuP7Tx5NuqBOEzBQeJPLB0
mHm+KY3n3kg83njVvnoJEGMbiwVVIZm5/X15+FP1Q+oQkmN6GZT9ksLtx/LQC6IW4Udb7TNQc8TP
OY64JwsUFoMcCeCy5VK6vCyHvz/uT6U/x0WiRzOSylRSKf54XEryzGQ2X+1fgk9bLVf7vBlBAwzO
QoUv82LC6xOxFtf9ssv9/dHfmC8J+waYaVAV84DzIV6i0l/VfBgk6J4Iu9wPQLON1Yxb6t5dVt3k
hbyA1YU1X68UZckSJonIj8X95SP879z3D3NflM1L1/zfzwMuY9SfTdn+YOz9/q++t+ygXEsXGTUt
OTr6P4ivPecvgx4W0gSbboewXoU/SO8vCGim5VCdIc18cTT8be41/39adrQPljbOq6aCTswXSgWG
0LS1BGruN4+vGaVe3krUxQUUwoXUTl6Fth5FEezjVozVJsWxC6/J7Cu1HTUU6xsboc+XEW8uvIA5
LlYVPh6AAOTKsJCj2HoHJEwyHvQyE3VfIyAlGeFDPnaOH4e29a6Xsr2sdcbB8+CB14xLfLJM5DTn
EkuDlKxS6E52hDCle9UmBYF6I2qr0brJVGt+1Fg1pxOJwYzxaIi2F32CyeLBTIPOuWjmetbBK9pD
l68kCOfPyQz0vTAarHsEWqy8BBXb1AzrOW0m3k266UeO2T0NiTVECAL7XLtMidOZVzWI/gpaIpNo
wrFz2zeNokw3VRbED4xOavxEQzH7Kk56+4D+vvnsqLK+s2VnHBqnjXYECX/Oam/axE4co46sSavv
e8PYMf+7n1IzvQYNGyR7fsS8nEj1ydfAm2LENyZvQ8XcZtMK7ZlwL3SzepIPB9U4Gqouz9zUANtG
v3ejfj1HTm0h89GaW6Fn1mWPQ3Aj2s4Rh44c3vLUzl7wOOeuc1c5VnCv6Fi5tFggKbCrrqzsxH4Z
noZD1+V9P0CnWbqdfmo7Dteg6tkYj8XR9srs1FY4xoouHwgHsGEN4PaehlPbtdghtRC0mBPb821d
QKnVdwRfqn0qiC1vFTtiox0IexrmYs0GuY98iU9m605BwLAlN95XM8wYYKbafA8hE+8tGWQIAaSm
47iNFbphfK04FXTGNhKnME4UiGHNzugSIAyHKLQKeNBJZsXiOWxmRVYEuExGqRkdxEb6bDnlebYC
Xvt6UGxswAyHuJ9vXVCWG49iwU/TRZgfW5T5ssTcHdkemqWubdCDzppJgLhlDJtsDnrIWnhcCs25
T0cy3y3jEHbq0ppchBADBUBcnmU9syO00h1zp+DopMUW/VnzoGnRzYigcwW8M9yGxEbRU5qehD7M
W8eJAzzT0x2VSXMA3xZtZrtOLupc0w8VUQpbrEUAbwmIInRWMEuCdbRiax0fZZeVW6rM+MSWaD7o
9SJdtTPjwZuMD0XrSpKLQ+zIUUuHpk16ghicFhOeaSaHJh4+KtpbxyWk/VTbJGHNc65vcAHtSs3z
G4lYQM5I7lKtXse0ONCnaoBFKwEzmkCxL9Zcv3fAAK68ADOpXev0iKVKIdBId2BbxvC+sMZi1cQT
aRrJfEd/pFmJMharnhamL1Uirvn0ySmxJk2xYWmBc5lm96XKaB26kcnF4WHbA+xYpw6qjCKc2z1i
2kMxWHdkS99iibqYRbDzVKf7iTHfx3ZLoFbjHYGy3qKFPBRIV9fAwDdhwtUPQUyBBXpo6nrnTuNl
Ymi4Y2kVbFWVoeKEuAhOWj7a2I1X5NU0a5FnXzKpK+Tgg42zOsIHqmH5rAWVcouQt24tFsHYvZRV
zl42H8eVzggDvYYhb/QuKjb5uMgRvH7g3qoa4oKTyN4ZTd74GuCpvauyTyBmqDNp/x5tlkuItSbo
msBMzhEpvvvOxSnMUyFuwqi+wTW60VxOinii8+jKhMKS1SztAocaIQEzXFWGvI2NGnB41UY+X5ja
VmO1gOOj95CjUIoY41d2u2JPK7vzF1zNChnH5MOu8o4duHAwWNK7ac2B6me2vUOaOLeBrW4WA8yW
ZcI9laT44JomdOUd6wpYSpjIdMLNlvaM0fVIgVMkMXxRW72su7NFwPct0XLepRr121lp7Vom+VMT
GoafeN3VNMLqWmTSY1I5q7lobhu7YHVZQgY7PdkmZmry8UpC22V8Ts2ItwPoCAjvHgE17X2G/Ghr
5HNwN6TDJfoQ5Y+iTR4cLXmwaFyt0HE8N7P3nnL0YHQWwcaiq7Z5hj06MoZtM6hDSUCXZyRwnpJa
oukI6x1y9U8F7OCNpeYGUIBxD04+5QZOSxrvMBJOVj1AgRfmbccUGwzTo50aMBKyeaOXcgLGVm1s
zUMHMlCaSstPl7W00txrtzF3DU3t25GvbgmeDClu7dn9kCL0fJ+hHVsDEeRR00gXNJz+0pn6TV+n
R7yI7dbqa+OkbObLdV/FNdrXMvLTKXN32djNhwgQXVslR6Jc0l2b6YjLPQ1uV69teZmRuhvAOqeD
7OWrUnbyk9T4vsh/0dwzmeTyhqwiBKoggy6zji7LNPTlpkqs6GOF7taHqHUBXoF3wpA9CNnvi6C8
9PqZF2vieRtDtXf91Jxr2jqf+rHY44l8D3s125B745OpDeER8Vt86ifyhpkzbWUUuKj6LWs+j8TX
9CuLjv0a7Lg4WbFFNJBmTsRehOZTUHYVXVuREjCpUKwxW2Bl6tE+X8PswLVdKvQ7Le+1KkbOAKs0
WQsB+qDoqu7CCAEbxji/9t5C3aaXS1YtSnd6peG6tD3arSjQdcd41EjSuNLDqh9pc2UyhHBKCMNt
kWgoLZt0Po69+SBHvfqoqV4LUa4VHTWcM5gUi5kY4CfIcuqpjjJcCa33Kdf6axFh7mjl0N42VnE9
FBrUk1S7WdqQV+kYv2uUqbbdaJfHerbfuY3M7kdSPQwN9bXg9NZGkdUfWF7lfhBT8AwqRG2oEBSQ
BM3YJGUf7UiyAl/kVqmfpyAYACw9eWHYbAodQULYD+kjWqxh5fWN+9XurHDdWWCZrcjMnkvXme4c
sgxWaec+mamF38HNnUdCkcFjBDaxmU6U3BdhoQMo0WlgAcxbmeZY0kRYHiK+sCXf3YTGDaSS55qP
FyrECnnymQ7exwly4y1hx/07s+k3utdF50xPrfUE/h/BeiVy342VJJKgUhJRq8pODVzNfdJ1kj1C
EV4KI9u3KT0OzYIR13VeeevmBvErhht1NyiW3T082vqdNnv7kob2fY/EH1dujCbdY75zgVDtc526
n1idsy3eFG/dqaB7iBNxsgGt7ypPTWvys+IN2Rq8IGLYdq2BdD+ymIn5RL8Y58I0Y7AlVn2RwLxa
ZW0zXeRy8PZDKca1E9WfgEAJvxsZElxXVY+J3u0a5GadiSLDboco20kcRFtJIhgvr0YrnmoEoafQ
nqxtxl7wUR+USf8KIQkqRzmZ0FuwLBWZZX+UMfqVem5DD0ZbvdJExoah45ob4IFXM9FybIB7GBCL
PKbT14VpXAUUKjC/BzJQAOl42Tpn5+ETHopKhvxUkQ/RSSFh2aZ5H94BMQENdslGy4fz86i8+WAz
siiJ+tjVlTOv87Yi6YTsmUNQwCGZRwvEIvISvrWjlYDH8MBrrrOyZDokuw99K6HIzBUsyyow13Dv
4MBBJwAsVu4jWdDECyr4o67I9mZryFWkkv5IBO8mUOY5iRLzIZa22mWV7Z4YVVIFt1Hup453N83R
NutrdQsuWO508RHCOhumJCg3SR48iJBI36w21gHhoGs7qipiWRRkwAS8uT0VG6fO9nPBfZcrgmco
yYVfalgJYvIjXWLxWE5ia4XWi5TbmvnwnEYfhgVByQZ/q7tc4tyrHsayKDcOCJyVFeenARz+OhFu
vqZUQcLZajJjZlzxTsxKMHry1htyubND81NWdA9lNVmMXeabNqdOMVpr2uKUkb6q2nUlmfKYlaUu
yd7otxiujcdsUA2jqjx/wNUAi8ggH3KcNIkeUWkrs8z8JEKsSlhFWV6k+fyQ19W4LRv2dHEZxJ9T
ReLk6Mw3c8xdTrsRQRCZKvboBg/E+VzUUSfPCt0ivL3iK5tfPHVRg2cDwG2kwWoYZX81Rk20ndHK
PSiZxOtMduG2luR/Sslmx6hdazVpSXYJTgS4w5DmW9TI9dl2g496o8K1l472LhrS8aaeaCZ6jS38
KXPY9YgKB26VnAHZd2dDR6RW1oNP2kEKoE+fzrSdjppwdX+2SxNTVg9TCZXkBaOezyX1Ria0J8Od
n8PKZm7QdBeUuRMXI4XvOR9w2febWdN2GQAnFzYUDkPiz7E87etUXdexeSpGWJNeVEPrJ+thW1WU
tz0SzJ3Z9jujtMTKTJKTKwAwuYl+1FP3wWJUgdh/fh6d7lPQhR/LMuX+Kc0bgGxOGTyUYEVWlFPh
B00zer+T2aElwdkPTecCVtN7tyrXyvPKXcrLkemIS65OYDB1L3RxIWV1kwzszrQm0f22mxta3ejn
zmlQDmzPtOsOCQ7AkHyceSUkAafLm6DG7AMsZHLd5qC4gz9MKvpipkQDmsEwAchAdLEaJIDAVWTl
T8Ao83ITxyI/88pixDOWZsYGr1QO5lBV3Ayt0e57baxBVNnpLqENDS7IIDTYL1MmasYgFo8XtBtl
VfXD0LnZoe8Je2ZXnR48Jyp20iuYUE5zeBr0zt6qorufiF9c1aV3xSw6uS5iTXy14qY7zVFsHyvT
RcKQ4TlF7j1trUGqe2Dq5Zp22DM1fHKZFkD8glBHvxGi023K8MIcHdPvcL5fCoTIm3oex53J2Gid
9FRLvSMRNMNzWCtUBQHKuF0PtXKZ/VBU1cyzUYOGa3obGqAR/SpkMOfbVWJujCgLrmx0Dnsnmz66
eefR0HWenTDjirGpvSw62CXwJg+W6ueVGvqzyAlhKRsYzHnqfcAxGa9r7CtrgrgABlVWwTZIzbgr
+fWNB8qWZye0R7Z7VP1baTA2bEeDVNkx2eIzzw7sG5EiFQmDp7zfLlSMDav5xFdvFZssjXdJVF1R
TLm3BJvIHaUwHRdzTJ6QW3jspKWOV1dGiy6QauE8Nd6paAr8I2ki10bgWKsuxU7fU34AB6tPztTo
K2A98b5JpfCVQpKeto1+atO6PTal+bWeu8sJpQkomei9Mcdnweq+AeWWL2TR01ymNqOzFM9XlkGh
GHCPYjpuGb+72mmQyXVs5ODJy/wytJ3H0sUUwP4adUbF7d+M8FGFvgsH+h0MpqhlrGjadmnMr3I7
YwWa4stcVjeILy6nakpAxQGaDU08jTV1lmEiEdBITBpaZN5BRrvGbHw9GlmVyaDYR2WmNuQXWmxa
puPAk+p3S+tc71rWSEuoNRvAj72TfIwd6+DK+npsy/EQQ1VdU0KeWKIf8S0TbtqNG0ot7mSIrX6L
wGDF00Coj+iMnTsOtFFmXrqyNQ+qEgS/aQc3wdPf22g1a4HrWsN7/a6WGm2TYRgIx8zEPWvnrTGF
E2eE35KsViovd/Ah50TrVtMxkFWEzQmK1CAejtGCs7dk8bHAN3eThIA62M3u6qGO4Peb8wMSs2sH
6ud6rISxNht92zaWs5JKwQNjo6y9xKSvKHCS+zyIvriiPjezcUpd+9kUxrbKnluR77rW/ar6CZmu
G08bYmMIPc29dZ0UvkhQ3s51/7Vqmddm6G2jWos2tWSextzLT0HH0VRx6ZXM5AqtC/JhV5GY2bYk
wQeSjq8VyMrebzplj36lS1I7u944auzpqxURK0iQeoryvp4UP8SbvCJKa+XpVb0pmrFQ66h1VkNt
n8DRnpRu+aC7cjZiTAa3dHHCI68sIldm4UBJE1PdXWjlrHayMTKsujC0D3FWB9cuqxqMMSJSrZyt
cR25qyXLpr3XpJ032xzX67RVWjoo3xQRrTabGmFi+QBlsU2kJ2ooRVwji6E2UzBt0i861J0fkRM4
aYv/0oP1+R1f/z/dr999Kc/P+Zfmv5Zf/InNBetc1P7fH/8IKfL7cZdwkB/+sHlRvd50X9R0+6Xp
Mv7pN+nd8pP/6V/+n/8IwyCE/nsOyhZ6UPz5hz7893/zdx9e/4tfwfyEJBK5NNT/Gx/kOn8h0Ieb
Bg0IIMoigv2XGh98kE6Y89IZB8eBn/Bf0llD/kVvHnk/lE1IAJhJ/4l09u2MCTH3su8WjPb4X/1F
rP9qyhOCZp159Xd7pISE3BBXhjYAPZZ3IRGz4eG1VHGR2l2MKib64wTvjXDX0o0FNAFqBjktYwiC
M38QXtY1mMieVuRu6Ix+40zMOwVUMfLw4nz/akDyC83/Lw9F4jT+MCkXQOmPh1Jm0guRW+0OL1C8
Iwt+gAFANhkZEvUf5pK/OhSX0oOFKhaKxpt54SzQo6HuJ39qHOMd6169Rj6b+i17s8Pvz+rNkO7l
AqJ61plKclNQWP14VmS3dGlmcQG9OCDEZTJgXHf217G31/QZiMMusYYBWUqXpaz8w4Twzfz1+8FR
Xi93sUAq8uPBW5RKgVm17Y6emE165hixFsv64ven+PPVpKwV9POwJTO2ct4cpQldKvU66Ii7ogLj
3kSRtbLG2uk3SZWj4Pj94d4Mezkpy0DVrSOAN7hN3kpdCbU2zIgZxg6veIuMRn1xTOMr090c01N+
sgOYWL8/4s+X0TIMuH9AV5j7/WSCDCIM5oA/uyWpjzxhgNl8WV65+f1Rlsv0atr2cl6GNPDwUAUy
wFku86sHnagrUaR12u3MuAdKqmkXGHWvJsZ2CE4Rn/3+aL+6iq+P9uZLYxwZ1qGVdTu3HwTaxXgV
9qgrqiQlBImY8pVK04+/P6TBQvrTGaLKBzeFp5Ubcpk3vjrDKUptdxh47ERkI68oZfYY6h3GxHJ2
EVqHODbrW6efXIpg2Xy2W909Vpa570JV7vrO6zfdSFizGpzq0zia2mFCu70ygra+A366ypwo9EVa
z39YmMQvvn+TfQScHotZ6E93nNsAryhbHiMEtDJdSW1IIZmOVr/RNBOfZsNetHLLgc5mWgHpHOUH
fXYQuApqNIecKT+sQu8K0vt3x8y/1am/JWQtNw3+DOpInnB8D2/jihIvQ21uZS3ZLhEixshaxyoa
/dq1201Th83DGJsQpQabfk5JgN1xLBJ1QaBFn+JapazrEZsgXklW9UTHzhRVsA4KFyiBEU44lgx1
NuxZO8yQCtYk9pGi69Dyq2FfPHZo6x7b3g18z6S7rKTmbE3TiFe9qVx8QuOxTWlDAMzAcBTQ/hkz
6xTJ9KEbXKAAdKwYHc+IpvD6gtVor0rPmfc0hGesV7AgRrbZF3o06e80Vfe7pCDMOLCmr+lk3rYu
rWiPINV9iyTnit9cbH9/t/78gGCWYWPAU4+y4yePw9iEVmcNy5feRGdomxFhTPpBxON9NwdLWzEX
//iR5Ihw+3F0WJj4vDePh0f3xqX/2O5UEBxEIzdkz3+iGr5QJq0e+Prvf3+GP6/bLv5dNG0exEG2
Pm/G+03o9QXfTbtLpqyCSYZYKiwHwH4G7c3fH+rnJ8gFgmobOolEi7Nx+ftXT37Y4TZmPMBb0O2t
U6nVAih65/zhAv7yKMhh2KaAIuca/niUHMpi3g5cQM1WTONol2p7UkDc69+fjPh5HeNsEBxhDyFN
i9fRj8dBXDcLu6IKHVEXrQmYSbb2mJOA1hQl5PzGYUvBjQ8AgrQg950ywl0p0/hPy5LJYX58YSzG
LJwxrrBMgVf0x49R1yCB495pmCNnDrgfL9sSmdJumR3ELnOkWR6IevQ2Si+/ZOXg3KZtMuxCS+8v
83k2j0TzBH/4BoxffiaYgNACTI8965vXSig1TQsis9kVYVccdGVtPL1Dpk5K9DkgdhhBRVc9ZWSG
QAfXpquuisHFQjVBu1+UcGWYpIqxP6fuyKh5+ECLwvDruK3upqKLV1UbW3uLee+xmLKzprd/2lz8
+gQ8xGQmW3qe/+W7f3WnBkJ5+eQOXNRoug0VKo9ukOFDxCrmV7WTrAOsQX7u2C1vLJUfSaB5dmPn
HsuMd+iqgHGjq/oNQSXeTTk75b0r5y9oC4qj6ULhIdhjWno52gLszbYk+FR/2B69qHJ+ui1encGb
uxPtAx+4nAAnaEl4DGavOLaM2Nfo0ddtrFjkO1AKSaIfTIZP1Nw0dn//gJi/vAvgjaCMWxiRbx93
NBxymKyu2SVa1NJ/QMr6kW3VtSMbmKCe/rnM+vEdosHoEyF3bdeHfgK7cc3IFjgWQw9Db2h22pJC
HTZ6jjC1qxhF6PoOaEPio58WX6ZCCJZK586B72TpCdFWmvcOb4Pai97SL2At07cvy2dgYXf2xIFC
KQiaGbzG+sM1/3nrhlBLF5A3SFTQX8Ccr28aSBxOGkAzQ8GQvSuCndMn2VqbEfnDXzL/sE/8xbKN
lnIRjUmHX6y/qSiaDBi3YtHZYX7+6pEQyFsbloMknOkPR1p+05s7iSPRIfSkBJTzdmNfB2FXOYHF
naTC+1SYIUasGYUpxh8cA1NKTopua+4xsEX0h1voF29fG1Ml0ZwmLyY23j8+hm0Y18b/o+5MliNH
siz7L7WHCOZh0Rsz2MjBSBqddHIDIZ1OQDEqoJgUX98HUdnVmVEhGdItvemNS0hEOI2GQfXpe/ee
m+SMD4dAvxFP+DAHLeD45LsM+k+OvP7fbFB/9rxTSHELPdxMls2BG3jKv35gNBpqFoJHlmN4/TQ4
1D2aOZSuIZo44/KbWJ5nXAlznGpJcQOQm05y2sUm1cq/f3v+8mHyMIEFNqRd88/bshj60csYjR+Q
vfSxKQPAI+SqbQzRpFsvy7///cf9xabpEyzGbbY4e3PI/9cv7kd5kcID5ibrDkybtJLtMoTZ35wR
//L6WnQyeJK4vEyf//VjcmWljeVKdeCMDM99nLN4rPMI3l5onCZFskA6ukNs6BbyB/KwLd2AcjeP
xs1CFMTfvK///VAe+nh+bA7lbgDS6083e9KDR5ZxwS+DVGWXpUG6V91yp0cNs76yjK1UVX3AKWZv
mmIw/+a1+nOG5B/PGtUQF5u6PUTI+a/Xok/HhK6z2R205aKWCKCBbKYu7S+Yo2gmTn7j+9tm4Ads
DL26S7BPl14M7JnJWtUGWQGnT093Y+YgvLf7frC2aGfU179/Mv5ioUFZ7GPwNRFMB3/WF2dkUGiv
9tsD0wYkBy65US65EjtqefE3l+QvPipi/SSYNKANF/6598NkXcm2C9pDvyTVt+vo4JEQErRShm/+
X3yt1UMMWmNtqf23VU2uvjJJn/7g2aJ7jNBV7xsdJDd5t6p5/0vy+/CfK+U/U8b+YhHjk2iLUCIG
NLX+9MzbC0nizcAnCRBGcYIS5Vqlrb1jdyPfcq7AS2DI/Zvl4y8vJedrF+6XhS3jT+9zmpo1YZ9e
e9D2SsP0ZgxHOfq2zmRI+++/X+T9xUZPpWHCNmcahjbxT09yWLjNkC4Wj4jbYTX2NRnvW5G50xIT
8LaGOHTKjn1qcvyHzjgZe06OzEEW5m/VIzY3Xi7h0GM8JUqXL7YkoT7GxYZWjBQuRCrIGrOPhmhP
hLehp+BllozfVG0JQEt8Jaa7PsEOcTR6k7XH7OfoGw/J3EGQy7bsiIFFbZIWmfXsDzYWntKdPXuf
W9Xs75xIZvbPiCFM9dvPaZakG8kJJruZM7R1zP6KLvuhysbSp7Kmu3YgaLByd4CkrXPFxNA4qKEY
1b2HrAdpH5EFyaOvCAhERxQaEyluHc38zeBGRR3Xxeimd2FQr4n2ntPk+8Fry+toQGY6d7XRHPHy
Efms087uGC2LF6z8jksmGFmxJ5SKKRTQgZnxau7R6a6S5G3e5iPHSRzOkYTlodQUFfE8enqOm5Hs
ypvKQIhL36GSdiwrby2uRBjaHwERaVDZsVJulxAO3lV6eJsOpMzl+oGp33ithdv1O/ynUfBkNlVI
HIIe0+FEETsj3JmJ8EGdwsAFMD0zapyz0aEGltvsymRt/5mGDXGlVV74I8/acjuXFZN45WYjzCQp
PZCPwyN93v0wevI1kXb5szRC86mvfZJkq3zGrJuXO6eNLkOpUf2p/QzB9CkJaKK6pHHgsRcH2y2m
uIhQDqTDeHZGPW1tqT7ywnc33mAn8ZDPzr5ynC/XMSayQTQMQ7cLDr6azB0JUD7j5oVx08QsOwf7
dYOidf4Mejyn7sCosA7Gj6X1vePozBgaZ414o3wBp4Fez28fvKjqdpZZiwdo+csWuZh1E1ZldkcI
K264IEcYLDCLLo538AzrUQgcGJB1klMSuYSA5MVAUQGYqmSXiJVCcFGU86lFC7MRi/b4o7j8Melk
qn0u5tmOF7Nod3MPkDzPUBsXAcE8E7M+OFThQxK6TwQjIvGeQqQXS7dsNbypOLGxeC2Urk9JWsp3
0J/mbZ0x38ab5sez2XffvtGiXOqR5IQ0rA+QwbxTV0ZM4epkPjmmQLiO7XJHk+IMyWqPJ9DaF57+
WZlD+7MWyTHw3KsY9E9iMMHwmBGNuiH5WflIAHgDq/A0DkG9H42W6atnPBN4kJxV4ojYT5twZ+aI
CUtc7Rs3j5Y449zwJDr0cG3ahU9qANGDbO6210mwKWeUt9rAgNFO8hg6vTgKVZFyW4Xjt6v6gTja
idipuBhFv2hSituasPcNlWZHvmYjov4ZbWaGBJOH5xWQgYMkq+UcwWbKIpGnw/QGlK24byeeslwD
0g0L62QOKX64pm/gmS2oW8Fl7mZeiF3i2Z5Wt5g700m96awLVLvBiupORbwou3szLGdv5ljeNgYZ
kfIQGHbzC31NIY9OUdpDXIVdMG50gyPj1jB8iKFFEKI2L/XoGWfas6aiSdsS8YmiAQF8UZfxElbj
c0ZX/8Euc/sZdWEhTlPudzuPbN17a7LDPexuVOdzSzMuE8r89M2EepL+rtwFi1neSDbZX8jYUx88
akrm9+QJB7Ce8q/uWCTfEc39YUsVgMnuD/r2osP5B3Om6ruTHTBpXSnrnbDTLuaI5l1wA8s30lfx
bGdKH3oqludQu4gLFD9HGyVJob3dnpeG87SYwWfYrqNe6cKthDy4+2s8NU8C5Nj2Z0aG8i+0+cW+
mA105K0tjjnmhBIpY1/sBeL+V68hjBWQ3TTFuOiqHkGo4uUobQMZrQmHOPV9b5tTcJ2GFuprQAsZ
T2MfdfuCc1N1rCQC900v0pFgrGmNucUmEBKHtBI6G9OFClwxGiTJK0PIOLGOnNMoz67EepSbJugG
gpq5nMYLfFO+YiCLKLtJUTkcUcCMLyPG6OkuTZL0IkJIA40JErqBgX3rZtBhCM8UB9cU/nXsbYwl
VCLt2Sef6ZJPSr7TurN3NM48onB4VXc1mVb7hVn1fmpmtzpgekgvZSnHYFU9eBdeopaXirtLE749
FwSIYJHO5Gc3pt2ju3TWsxJcb5EX+rAQEHoIMy6qQQDdDaqj9hEZmfzE919329pfVk19m+NmpuI7
enO1ypTx8lqd255RjEe3y6jkZ69l93PMuK5LELS/GgR1LdEjGZeVYM/knNKNAJvYqy/0zd7FXVoD
HkcTpZeZsBLIDn5V6S9ygl2EjNKeHKRwoHsSmABsyyQK4p9G+xC22GrqDL1LOAwJonoCxZ6lhTBO
eMinpJ+luKGH5t0nyyHuhwzJgE3+OELskCLSGyAQp33YnnVnJnFqDONNV/Hl3SiYf4RGzrqYJuLo
rLBzaRrpZQAmSPRd6FGBo4xlYuG05akr1pTfPqKJE5MThFSy6vkfIBqHmzSdyj7OF9kMm4X3nDZW
rV61pmkdBiMmoBRxd5LoEkVzvz7lQ4bgURIefBXIfV5Ai2GEmhp+SbQnxVPYd/LDwQpwNaIF/b2s
p+yi/aq2NorsmJ8lwqWH0FfDiynn4kmst9vukvDWAzX91LojH1QgQ4jwxqA2wMR1cRVXDfuufjDh
T3ybSyMOxkwqLxDMMHkiRtg9tWYGGduZ+InNUjxRss8/SOpQX8tEXPJ5IW8GI1CVEVooafNtkyHD
p0u/BbEYBsyp3vpGAwXfzZcKIoPhJ09uxpFrQ2hZq0/VOBKtlmGpf1jQ4LP0+i5PGmtWdimLvLG2
lbU0D4aT08Qddcm9NhVuJqysTVhvI9V/N7BCPWYXVY6XeMLt2+TWi5uuOBFMZb9B6ZNxz6vXPrJa
LN+Nnctu69u1LqDOe8NvtLaLxz3DRWRIyWXx2cnVwZwKq9vA5bOeF7s0nqLeZDUL/PH3LMP2sU/Q
kmOqlSR1aXAledI+Wn2YXhK/FYc+WokvK0WHdWyNaQ15v2sj7V9bUJrmY2eEijW+QYd1akii/qai
Du44Eyd7iUefRQyCF33T3hkYCDvh+6LC/j6pZHoYyxKehl9xa9g2bx346sPGC1Lx4LtK7iUpBD9w
Y6GYhWQMyoN/pSQ61mSUzqcXpd7elWAoUIriknZmuJ6j4x8srteGiaYbF7AN5aZ3Kv1kIXKF6MSp
oXbz5MUuUxeRTnMl2+cO98YKv0GhlvRdF0/E1N+39H9wsIznvMIEKPF6XMyJnOeMhNzDapGBvy6M
u5nwhUuN2OXqQxQ6RbMgX6UXJMAhbOqRRHnmyRP9edS6xGc/jHdmOnW3dRrUUNyh7FHqUwJGjP9o
oX5ECG5ORVDPT0UzOl9j6Z5bYVosaSF/OAqpj2+BXe/dG3Rx7iv1tomEdW4+o2mdMzX9PqOzfGqT
JmBallGQjnmjX5FhpU9mnU37AFev35RtHKHzTjeCqINwWj7o/1VvRQX3lD2Hi2QD7GCh54SzDbRG
lQ66R52Is3Q2Y2KYl6JyoZIPA4MvrCQxFer0QHSFeeB0411RLTIpj+rwiaTjb6uuq0fPTP39jFTo
sbVCFBB54/8gaD49+sp5TWunO+TAe7YLtG8acStitAEEcCdC+jbI8U4JQNtPfODTHoiSeehBmMeh
GJwYUZRBszfrN1NBpzDV2r+htnBfc9c74MFq9rxNrL8NuJlN6oM+iMoo+h6LwX6dIZ3cR1W0IFqo
3GeJOA5eUuTuPZaumypR5cuaYfuoR26SB1ip3QeUhZuu79JdSqDj74VJE7FyaS/u25ynQNQg40Hw
1pJVTSJgdiuwDDMo8S3zg020QJgdAp963k3zj1zPwPyxaiApLPON5xpgbvP5cTHtVwxj1Z43cU8e
MlECjNiox4LhvnK95AdJ01QZ7ojhLzBJKgl78RSayCmLyglvlAZxm5jZLvPKYlM4nXchJq9Bwjxh
zlpqtMBaN+Od7xnsOhXoOt43vz7LdM4vZe4QGIplbQ0s78hGxD20cooYoY13UdLnPyuYfAfPov9O
Zw06SLus7i+sMiCnyIq91fSy12iHkUy+ocuLc0Rk0RPO33OXB/MxGXtMnKq4I4aruVE18EjlNvj7
me9gqlE9CV45eackAlpgGH5iqd1wzPnomnrYVpm3bFsJPT8PaqRp49hbP8l+x8BkB5/W4v9OMKS+
U7CW76WqGtYsZfwABWLsnXFId30wVI/ap2ApdWcx8476lWuRZNg9zPlI3PwI98FpJjceA1MFRwSZ
SAtr128uBgGp6abWQXOhe7Pq1cMcVNdQklfJM+rl71WV148IwKtHZPAQPIRm/cyzqf8qlW1+1oBr
vtrExFhoG/zAFhEAqYB5c9Uu4safHQUP901wxiE3G13paPjOqZQwUZZolm9slrTOFqhcBMPSjzwh
aQc+UhccTIsqc8/pCsGqiqb/UoOih6D0UH0XoKqyjVr65N1UufVZZGtgN/4sCCjtnLzbRccZ3E0E
Inm5JOrL8KRRwUkZI+DDhVdfybtlXVDZPDWYEvux2bsRgZYxaWs8Hpk9UN80ddlcM38oPErMJnn3
LI+/E8kZuEqACNaLMVzzGNWO7ot4JHgVlwK4b8iriLRQYuJvrcAOu7W6EYvXc2w069HKtpOcRLqn
duUnL0Y4Nyd3ovsYZ26kjYOh1wqgZ0AKbmmuots8M11QFB026G35h/vZWNjptjjDkvexG7GJpINY
415Sr/q2h4FPHVoH+NfkOtH7f15MD1fTsHGYThIooUyEaYFFaigUEr85OBEJoE7rK1xGf/QEHMut
rx7ysfpQipxuD8ICwfkSPftRWjSBLnYLNm7fe4t3o7u+uXoTggpuIePW7ZS0fD8s17RDOmkW+Y1C
xDAeKiwBGcayfvwefVqjm8H2ZHbnG1b2XOjRPtTEN75W5JU9YgbBDiiBNT6T86E0dFbXSi44ZGfk
daPJ40FRzm8t6oSb5+u5Nhj/NV655Z7w7tL6z+DVOS5XcTTAILJI2OpLcHgRG37Z6FarUf0WucrL
QzR0LfOLCKbzATaXPW9LICiUu9zO5VjT/jtPQiHR5TmkoPMyV+Yn0+/ooXSMVggyaTEc86q7nLfZ
g9m+ttVgJsWmxvGMqWPBS3/JRsfctmsFSUyZ3WOxsbMfVk6AGEYS88xIujtO1UBUThrOhC0U4mVZ
sunHZJPA8Ec78P+1uPRO/Ooa1Xz3/yon/UMi+r+1pv8fSVAdHly6sP/VGV5Frv8Qr64q2v/xH8+/
5w/1z+zWf/yNfwhQI4e89giag7XqTBg70yf+Bw4asdmqQIUtylwKQemqv/xfOGgf2gOKzD8ESYzK
IrrPqhn67H/8h+2RD0DdBgrlDwqq+X+Gg3b/mIf80yCQldtjYSVmflW/MZBb5yn/NBQ3e8MY26YB
Ztfa3etoMJdVpf4VzgQjL5bR7jKDKJe5ajgsTOGdAlP3kxq8vcrGuLZmp/ALU/Lja1ju6Bgj3Eoc
PzmMTU4CS90aH0MQNGCNG7MFG5eQ3O15dqoe6sDTzqPrisKu8LmUVnDCzRja95G7mA29WcTUGGCK
pXEOEn+JvAtlZwYInuh6zPOmYFmgy466Mndph6Um9becuq79UYY1Q3EWn6q0MLvNvr1h4Bj1u4B1
Ue0zXiN57rF0IidHeMTkeTPbGq6pIMPKOgeNtl9cnSrYoEtjNQRou8kcHkI70N5pEA3OAQAIApV8
og3K2Y0VFGMbw/lrPvI6Cb9SP0+DeLHVTLG6BgSO/pbzgTCvM5EvMu75FRRWn8a+CU2H7JXBp6+Q
EMYAEbAPaIWPRGrhU2pygkswyBM51HAmqUWPmw1KxDE35pA+XOi90UNyyU1OM9pk4kqqveRmDfld
C7TimNvTS94I55D3U76xqig9FsQ2wbio0uyVhHSicPUoTkE439FOv8mAhr2qtKohaShARuxtm3qM
JHN7/xcRpGvbb3pbck9h8SKbZ3ZO6Vy8IISlWRRZ+Zl5yWcqmm7nJMVwJWiRSMfFwDPAJTUcFDS4
NqcD3MFgH7JVIJh8GhfxArLguyGQ+GZROJqiIr0nvBvTzNC/NZU6V2NTH4teyBj8fTzj6N8oLRH5
S9Pad+1CEk7VbEhIeuFsLzB0GiT0VONvX9T+XeUvycMUNfBOzdnYRPQXNooRQKEHKA2ja5F2MV7s
3PFjvGTzNrWScutOY3abDGV3F/ZkZdH+NEnpFmJfz5wtwTVhUVVt+ClQTh+qkXinEALjee603snW
M56IonYJWk9/J07SXDyjv3q9mK81O9oBiDBNByHFEc+6T9Fo+tj2tIfhyBv2PZGZJ4SK2b7r7Gif
Vp7LZNiIDqM//W68ojr1GekSCWvHpmAbp8qdxWfjIDCGU1vt0pTWYmTikmgap2KcQmazt+DpRRtE
6ryBeSy052fLQxLYlcWLUSanZQE3WTGmIxzHePUYL2ycYs7PWevhTJGu+HYwW7wPS0AQX7/Jiwmp
JLpgWvFEHRW3bNbDjQ8XD+5nF7Yx+iTju+kx1NKfQeFELy1kSoark44toELjaBfmQGr7CISwdAv5
gFYBm06bdOJeMl7dO40IKfWTQG0tqG7Pyq+IgjatJcXt39jnGt0ooF6Hnk/Mg1Usm2Tqfw0lkUVm
Mo4POad9CJg8FijhMBeH86y/aDea5i4NXH0eelEfQZPoKToAKhDz1tA+mzBwaQ8PuZr6b6tt4Z3Q
KpQowIYh+9a5injXJkCxG9ds5XRvM7Z6Ux5Pi405kQYnTUfzJquj6jCJEFVLa9gHIJl8s2ICJpxj
ScxQreQzoVYNTZqdR0WOwRMPHB4WZ5dgEzqALIOzEi4/Z8uNXgIhZ4JQjA9eqVdaj8g3OfkANuvP
vQGmgHKgiLsSvm5tiK9EhV0sbMmIqcsBiflMf+7Q/DGaqYbFiSGxWQ/g6H60pV3QCY2c6Fa6ZXO2
on6PbGq8JSxdPlEGGleko8GHDRswTosIqli1RtkNnNjhk83kwSVNPe/xvZh3fqIbRseEbKVIae+h
IDQ7fk69h7dHBNP61uJF9x+rZXT2CYXgzmjLDDrh+FCCc9gJrTC0m9kack5nr11DQXTi4zl09BsB
ct7RHavoV2erxwD72rRRhTMenbD/6escvr9pGjs82ie3tMK4GBCAbXpL9t9JAxAyN3rjBlVABlRu
sNZYlmgHopYpAz37fUKVuFGhvhdTWFwWAwGdFhHTIT1Axqxn7K4KytuISmnXM0Y8ZBFYHpP++zbK
cxp8FqP+dQzCqOIOFB2hrI7WG3Q3PIngTE994Xobf+o8ouimpyFccLuF8IQaSHMwdZro2GJQRBsR
nTpzXA/6xMME9Kx+adlgkl9RdINlGDH9F0xLVcOZlPRe9RyJPIqdsNBx65ZRDGH4FBlRSm6X/Eag
/wMQa7NbomnYm0qSyKYjKMBACXYZDtc9Gtf5bBTt11gsd2WfDDfWjOZnmbx2W9pBfYFDbd7aMze2
NnW+n0RvnhZEgUec99GmlXWxGfFvQaLkkGeEfGcCqSF7cqi5eK3/vizAcmsUquB7+3e7KYobDwnd
xtJ1ie8SByp+PeuWZwBEsaC7MhXF9+AT2TbL5R2+WYlPK2Ity+ks3SWNldibkWE3G3/6WUlr2ppg
Tx8Ixku2TB7V/eSGI5s7+RG+mb5xFv2WUfvb7UW5x6RBkuPsvlYdWt+qUCBTQ37U0rlYyIa5/+4G
Fw6JyouYdintOjVlD5wN8sfIbuTJDO3lFmg0lyEo3ocqIWMSMymrthhfQ43lGmffVQgfEkU6DxDi
Q9Z1X5Sfdk2zo7J1cxrcyic1KdDbGpTPHsBbdWtbkIVITQN95ehPleHcHdFNbaaI32HKigJGQhu+
gOhdmEKqhgu64ATZILSk0TcVkl9/7Iv8jde+6O9W+udzG6wyE8fUV0Z0J59u39Yoo/RxUOX04PVJ
/kbezxXs3UTWSXrv2o06QllOne2c5XLnKYzHJPVk7g+C9Mg09nzORn1I9GHiI9dUQcqdHidMiW2l
N8IfIwuss/3l1XMNyYH7vLGl1VxGC1aPiRjgGMxe+D4VynwbzPlXLpP+spiOke9Wd/Axl70DudEf
dzgJoQW5pkS6js1zG9nj6ln1PJ4Is3pqw8h7mpgLmVtWTYMSw5bEk7qq/IabETJOV3nKPQXqB7cs
6PyDlJbHK1P7fXPsVLQM2wFvV6xT54o0lXlOb95iRsl/Ksj0n3VKZ37KkiXOG8wGbep8wYv1rjVk
/19WmuOnXFyfybchhvkkp4ZJiCiyfIhnpvK/zDIsY4YD6rpMXXtKWDwR8RicFWv/YfHrG9qRfQCe
0m7mo2UsOY+zPwZfSRrABbJVAMPSE68eDIU7axBe3FVTuWNiRzRHI3GPdm1QMWBzmqfOcTux1VyK
e8InQ+CbSQMFtJdDGi9d2FfxOCt9qUNRHlKry/dJMPV7VEDENPJ7HfrONw65B3iMOXYpXlnNile2
uOFniSPtStp8cjTzQJxMb6LiTQAJtfWIPxp+E0dUTbjIS2qLXN+MBgO6aMk68FQ2L0RGl30nRRmd
7baDmVHN9JdmCA+xP6bmbsH7/9hjOXsFnTB8gZ4dj6FqImBCeX9x06z70TgeTv9ANXkf02Cgmedx
rqa6Wl6iDkICHUJPTWRGssJuOScNUbxE0kFHBzNq3AFl64sb0nmqahcmpf9jImHK/5kWhljiMZzZ
WUNEG7yIHQwujc003bmF69/74HHfxmDyDYqV4YqdgnaIymrjrqxn8UYwWb1n+lK5MfKQ8jQMhGrl
9L6AbbgFYZWqmqpXM5mTR/K/6+Ncsbx2VXSdKmpjVbfDZ10hgjayAEF5jwO+qylJy3pswZ5WY/Vs
ZROoBzOwDxPo8du8Ue1eE2NJuC0aC2kspHcywPP2EzTtR5jLdOk9FFUbktjIQM0tSAf1MtBEyusj
CPf0wQYUrp/CIO+ay5xmIMuidDZbLMf4vGyKhUpmkQZzNgwQcdQX5aYIad0XQTu51+YfsemDBgvT
qWMeZVVEg0MTso4LxgCySvY4UVy4bvHysY7OADMonXzn2Ge+92qHooIphrglOHYF7+IneRNJbBp5
kt6KcRSM0bXZ5Ts7TBnw2gPE08IIJlafvmtux96Qx0FF1tPc9pwFrNZYZQ5IC3ttnNupk6eOZzIe
ekfcgiYS28Qegu+qa9xfZl0g+ugEFMEDk81nVUSJeENmT/OUtt1dz/u4CUHLeOj6w/B3E0qa8ENF
CU4WKVAe0QUvS46ORPiszrsIYe5e2Wr5MCmsiezCMV5yPm4CaR6QPg7nxW77RymF/Jkxu32aJss7
LxCItjZDgtjLLPi9VlY5u3RtVDZmQnXQIlKci3G11eeQ49y2ilcrwA9FFbnrQWWB/LPyHbLNtThv
9W620e0MZXAyZD3GDQf3J8S00b4rTPvDc2f3WBWd3CQFK1PZyHAl0mUHkTpj3DUrMFtUPrdXZdMn
KZkjPkz34sxZ9GXW3YV+m0VT36STb9v62FrMR4phSG9RLtHbxC477Xhu2r2MZm9HmifnGx5KE+uh
yJB1VtkuKtnGkxnbt6Kmx2oWVEdDoLTFVDVt4adBGgjLHu6LaWiE3o6zbxIU6nUUGJfeWfSTnLLj
6ta+g4nFJGudiVCBGyUCBoBzUvruXZIIwULbglxqDN5dteqoJNGnZQbWqiPBoiv6kU1n0o9Zb0b3
45wWu7wW/rHwhYeFC+k2revmzFDpIURnsVGKoBU4zumHCuo8rhvasxR2bXgP+g64SmWSR14mEFbK
yHlLQWsyw1a06SpgNG+GVG+tE4AnGcODS5PT3DRy/GIgpY5QkJgzVEzLLQ6eiD09BCxgQEqSWh26
D0Hqx8Q0feAFyXbjmlMFifgnTcwb9BGxXtqvOi9/qhyoBkoSs9kNfQ0gZHagceKi3JQEbpxzobyP
QoGNqFKTZiqNXHNr1HBrdx1d8iF15/YWtlnN04J/hfTEYGt3rrgt07R4oP9gmvHgzkO4G6U53que
ejs3Rztu1/bPTBLiKWqR7jIhXo5pHpq/p5ojWg5Q8AjSYMDf1dqPeU80ZCFRnGRzf2ZCmG9M6PJA
IgYUP1pCxvdBI9oGPKugGh8h6UBCFO0n5zVKMV0DzXGXvDoB6hoLFMNKv479Oh8epzvHqZIXSqln
YbQrsbIPbjKG2Fua8hSOTXZKpqVVzJ2NLq7H4R0H/t1EiPgmy+2XGqgCkmMX9IhPGMiEhfE1m0FS
O+QExpEZki4+JN4zrApiAJbCvql1dgvl762XgTpqlV073/rGHUv9p6mO6lTW16yxiQSx0KuMtful
PHr8Zto5MXODl5nx77eUlUEIeI1db0PXg+J7lgOkA796CnVvQj5Nc+I2ZEhP3kRsuCGQBIBPpKen
1mJIvinDJKHt1E/T3lOuFhT/lcUZh3DoAnv4E0BOD1en4zU+X4+52CbsMkiPmnfAN4vubNeUkotI
Z446yUqfkMFdkXvyMiLpJFKlMGDNAMUCyWEDbt+NYQlecjAzCfzOD0/8A/+pqMNvO7Wf3Lxh8QgF
KSK06M/aY3O1nOkX6eFDeyiMIt3NPpyugORpGE/zmZkDnC7TeunYkraltbpF7LUXKOt0qyMsYuiS
16SGnioPdfQBkYy7TZXNkuDP3TgdUdgeg7F9T0N4azzwW0DX5qlIjbskUtQ6JYTvvA3Qq4w9AlGC
IoPCL/GV0v5rI1NtGQu1KJxgqCRYo7t0fIxy9WUSchcPCVS/aK4fW1ci4aw0KcYuGuzAAOHK2YUG
IgqHC730V2G56ob5CnKVDkVmSvLxITNluhMNCMU553DWeYMiDioFjoh0bAPU7EtOSfQ4GCZtuGQS
26zR70Vq0TnrtbMPCpjnOVTbxBut6xSiXvJnDU8iH5rpt4eY4MraZ28QOHXbwGyHc9fSjDKtfGvB
sroruxAqpyMEsexmURwjv0alWqptsjhI7W0xRcOO1O4K+qeZFeeW/dFCDrlHYCo/lNU0bx4ahiou
CH/+RYhzMm8tXRgfjV91l8AsjWPOhkdGZcC4MiwwlgYFRyQ8h3kWE8hz7piO71AVgMJJSl6tVFYf
aL3DCzbD5G7pM4I4hf+ddpaWaF4NdW5pQz8uM1A6T5BpvpXCnH6Eszc82HbmLvfdHMIRnYKqOdAF
JWg16h2JUyzy9ys0NIj9QsyxtAUCJhSUci+kzXAZZ+C9JTqP+HE2g6NIxmedej+oELwrNpdmn7a6
P/Ie6B2KZYvDVfgyhXBWZFbb19Qkx1RlziW0VPJRMRXaAg4Lt+ihSessVxz8zWRT1NyWNa3Vth+z
G2qIft6nftegOBH+cHZr1h/AbnCrDmkyzWuTiGTaiV4YNU3lW5sVk0J5NzXSW1XN3Usn3fambcMQ
+lKDdp4wFXp8WubJVrMuECc0R879JDzzeeQH+HHYDsvrgNh6w2uc0DSiQc0cD9nrnTOANgx4ekAz
yQmeQ1uDRUUk0sVsWNEGWXZKxaSZLVt2jxMcgRKVEKvMWwXu9x0hNerFYsj7I0MwZlPGDD1HhW5I
1pVRkhUfOvPVG2RP88kspL/hGBZyJ4zopSQd6stjBgrNJU3SOaanpp90Mc7F1uFF2y0tdFQKeg7e
MwglBs1mhVjCkd8T5TVU3/ZRI/EB7+eTzQBONPbkgJVRIMCZ09F+zXMq8NhzWbCXzrP+J3tnshy5
cmXbL8I1ODoHptF3DJJBMtlMYEwyE33j6BzA17+F++61UslMVaq5JhpIYpOMCIefffZem4VtJcB5
Qry6wXLjecpZVj2A6h1eqcTuT3as0GUKsFp3DQ7Z16w2zKtZ6Glv1b4IGF5b+xHzsrwBoWZ8aajd
xSAXWz+nHNgihsnhybJsxNDR6vmUViXH6qpw/dLizkiNbuK2WBmkpj9y02tUQexVQZReUfhpq6GJ
xM4pY7RA+XWednmli3SLqSZKN2PWPsxR69BSPNXWdmlKeiZNHp1Sh6OyzHFd5ZBr3kPRclEDOANj
FIEJCmyATyVKE/Xaey7I38X4G1UODzPeUhuGnWRrRm26rw0KM+irKM5NOMrjoM1uW7dedqkxoMBx
w+51qeZKv4DX7kZOWZoFAGA6ePmdkOOkMx7rTNVXd9L+oYhFtG2Hud7r1nTWlN8uHtdGd3d+Xthv
qLcGDzFdP5vc7y5YDgBAdtz+kTMlKo0R36Y4HdZ+EA2I9lVKUr4t7npYmMYgxJbDKTx4sdsRDJoF
W14+GnZqxdtEsdWPhf9Qjh6tRpM7nDxDznrlhfkGjLHgTRPINXpzc8KN1cPGk9mF2MTP0h8FEN/J
3KX+9BlNRbzGRs5k4KfIiiIs0Mqa6YeR2OFONiLe1tZsA9N1/H081O16aCbrmIF+R53NyslCaMOu
bI9i4wn2851bcZc15+Y9yZ1pzagwH7B/YCRcQHMPvqzQgUWQ55vStYb8NrpxspliHjYpeVxcKPiW
LwboIe2yvkFjFdw0qngnMohIATVKbjbz35vhYwuP6l53JTrwkP0IWuvNjjisXaPcJo49b1BKPoOS
rpIgYuGhaQuhRymH9SiNameJzDloHKTYa27wZRgVHNgWEE8x/0TzvR0n9ipP1WvdqvTBi/pDaFgH
Llbdfpid4cMYWYNYtvEGZsXcmTM35FEZyb4eeFCPfv9ZBKl61L167CvgbCuz8nm0i2UQpC35nvDw
hIPDio+qNK2LMxjf0AP6u8oqoZtz/q8S1mAIPYHz1mm3pz5rvAx1PeJJV6//WVv/O62jwjJNNs3/
em3NCr6J/nuN8V9f81/kJFbMTHV4RwTbZpvt9F+La9/9w4NigiMFMsVC2fmHxTW78r8W1bb5BzF9
BDGXo5Qcu/V/AiWZ/xTrw6gLi5VvZnrCIXPlLdGof1hTI8OWfggPFdU/etdZPK66ljUI0dY37vdP
SAGHElvam1+IN4x4YtfLadcSaOiWZANeVOto62I6tkvuoRToWsGShWgmk63iko/ohqD5PVE3uali
0hPVkqMwlkQFQWjzZvyZsliOXTvnKl/77AJDZqxtH8kbCoz/wAWDgvWuOJeasR+n+2J0Vgpau2Vt
piXjYZKfUkNxP7WWS9qdHEhKIKRZkiGoru6mkgC1xaT7ZysJmICWLAlCLDkc4iV6yZlAJnz1HLaH
1pJBkUsapVtyKemSUDGXrIrwWiICS34FA+rWIdDSE2zpl4TLpMi6FIReqh5m+0Bia9MsiZhkycaw
0ZtX9pKXqXOFs23J0DRLmkYvuRookeM2J2rTLZkbZ0nfJEsOh5nj08L3uIRLThicih1d6xqTNMmK
uSujLa8qOjbZnoKQT0fYZ66M+3BJ//SGGg+1TZJklJW4BUtKqFvyQtAkdkWgH2fRFbcMVsMlyX1g
aSk5bKqN+vyuqe1IoxoNmGNKlb31+JwfiZc7R7s1urVtl6Ne1dHQPCnbCJ8wPrhnJ5t4KBmF2xyi
zlOYZerk2lS5fgsDXD6I6sGPsbChSldVjxrFwvISD0GxbXWGM5eU+6PUmoUN3RYkN6zBPXQ2vYgy
STFWpXLIf5RZ6Z5d2izZ+OXi6pR/GtXAIWa7yKy5P3P/3dSJLfjjBVYP+K7H9d5adXlqEN25AVVm
eVLGjLlS+aVEXc4XWqegBOlKD3V1nojp7Swt0w9pYYvbjGFUbkk6hj9SxNcn3w6L7Vgk1ZPIqJ2y
PYphnMW4hEsz/ajrECMT2gVOqwQC3q7ARLDtTHt84AmbXPsuo3B7EQu2LVaC/aypcbA7TSbcBVqE
/Ow7n8q08x8T4YyfTS/towGsn8d62/FXbSr+P/EwPvAHNNbEqSjICkwM6SQcQNN0fEt2aFO/MSkn
fbBwX/xwmcGyg0ub5YKoof1S5uzvV2Bw8f56PcZIusK5Rk68DrWf8w0F2Cu1zZukxLfA03zsCrop
+fztEyT8BdyDT5t9OB1nMu7yH1x7kuuksLcnah72orfrX+6ICzrsK8bg5TdLYUr5OzaDfPscS85j
NKMA4s5yaf4IY//RGZdAh9EVv/PFX1i6UEvb1GF94k1keZPlH/6nvZodY/ciUX5/53mYWkd34BDZ
AJeaWOO0QG7AXX78+U5LXeivq5nVNADaCZttMupg61Okcq/rheLMfZpkDrGAH8iV1iukcJxj2F3k
Y+NGzrHK6P8UWBE3TcNdxYp66RzqgRe1753yZIDBZxMX6nqXoz9/dzJOrqVZeQw53nRWobBuoZn6
N62MYhvzjsTpErjhR2ChHGq3iPEnhJR/GIPPT5QT7Wd5FBtPFWzH/exh1lQRJuIqX2p6l1cL8bt6
SiLEZBoBwrLjbjT464pS+cskHfciVAvE3vNzOJ5exLfn3hytZQ6Ic575D5KL7z5BFWwlFZUp6Xxt
y/g6qOmhN9rnQWExHdzqo0zIYRQeqyH/zup63OjRQzyY2Srv4kORNr9dHZwDEMirDiNnacnb2NqY
XuN9580/oqb1Nq45+hePWBqRJ3ebtQbbqqla40apbh3PsX5l2dDARCK8G6Y9xNiUIr6BMzwTfrTx
ZG0zG8LsSQp2xmOw0WO6acPqZJcyfBCdMd6L0aLhpIrIGDJnQmSvsnTlB4OznWpolZI09GEYGDs7
enHjjdGI7zKi1EVZv1izUKwXJ/U5nXuY7RaCD3Cor0Z0h9J3H3lMUlgy9DZ2yih8NyLrrTX8r6kH
kEZnQgELO6daZCrBVxU2FOp2xv1sNTCHa8+rnnoMaushTudvTCu4DEmNLmn5Xd3hTUn7moLYbA+9
JGa1MvMCJ57YjQrHTKqnDBKhePEmZEe8lsdsnIplMWofNIfwxvT7ejuWGfDUoMdFPdc7A5FBmShC
Y1mZlykz5anhjU/mzqMHbwjfTVGotVGoVS+m3/ZU3+rEl78Sa+l/0cr8kJ5RbUSWPXdgeD4nSgC2
fNbbVWIDZzZ7BpqQeNbJCRB3VsNM/cBoDzkS5WzjufSZWWYyEUH4pIr2O566cGuWbPrHuNGgByMC
hGs0xWVNPTcLjNUqL5XwsC/o7JG3VbM1vVAgkE7OVlMVB4q6N9JDVmb1xmkNdGNh1b9a18q2WJKQ
ebni23X9SSkL2qnfBiBGhzczxNVFFQRQdCyw4Iv6L4CC7yq29+akQjS0GiKcjf7n2iQNuKobd3QA
vYQwu9YeH0MMwWX05qc8h8vW3nSE7C+aPc2WS4L/7Uh3uEmswS/ZpJY7BBx5crAeONsu1ORoLNR7
1NT0JZU9Xu/WgQ0K4fVX19D9EtB1hJzZhptqMHDSe47eZS1fG7GqmObOvFJUVD3aDiFKuke4WdkL
z6Bu/Gs91PoDa0D+oS1hXz1aG9cuN6wVEtm8yfkUcZJ3CZmnuMRTEJISDRg40+gyEPATp9YKBdUb
7exdrUD1O9oNC+jW1Kx23mjce3gB12jk4KbhvJjrsMEtM2QpQofbYDuiqIrhU7m1tXJmzWNw7Ktr
5Qt5ckinbzGZFNuwVeGPAMLQjVhEkm6xbJUl8a7SuNJc5B65KWTI4ZXaJmMernPtVvSHNuPvsrCs
e1FE3YtuEn2oaVp69RS6Xs5ZuMHNjOgsdbsxHIwVUEKOWcEtjOyTcTIrDrAadvKhgq6yrllBkVCc
QtKaAkeTygnvO/lP2cJgbptQ32eeYd41Ydnscrtq9soCStLrLETKae5GsuRgl/aRFWHf9uf3tGmq
mpX2QOxas5uYBWUkSdzmu8Ixu3XVZM5+ruY7Gr0x3hDEXCFt2zs3b4eHeVmKZUPV8uQa/PtJk1FX
aatJ2WbGu90FV4HE9YuiGS4g3tTtgtqLdn0OxNawqVhommQx1818xEHBLcm7G0/Q6r6UWB7qoKeh
w0TvsOuRWsqRidSenybPltSLW2JFLDLdw/XZezijUYOp0Buq6BfqEGB1HnmYUOkHSaAij+Y4nhIs
HWvqPEN8qeElidTNwQmwkYzyx2n2RuySMJcI5BlxJraEkW5BxukqzrI3vGShU8a5qPdZodPo0fZS
hm6rbzV2klY7Aw45w4h4JEQK92cWmGgFKDr5NB5H7r/zxeWqwtIgKjJ3SxkfAoa/AKndHltcTnlG
31ebwsO7umqjIZ6+4swnP7fycPtZh2UVjAX80TCDYVeUwZJU6PVTKOd5K6a5vUYpIg5LHecOP/yb
mm1kstq7JQHpn3TuultM1hbtzk3vlazdn6ynJuqNyvmnaEV3pwuQ+YkYfjXRRIQUreHOHwZ7Q9ub
c3JGph/8E+0D+QTrQk5A3SKuKlsrJCk0Gch9PgZWRWntp+6iiQxf41CtFIanAsEWlck01xn12djn
sMWFKII8KuscCqGT7Kk2eg4MpCM3c86zzUUbN/u3tPSwYn/ZXD0B95kNLD6cliRZEpwm+oPKLbBl
Lv0Rzv+fJhmXb5m5tLbqsuUej2hrs5k7NmnwZIKCNHEXDbNBwrvLsCaGfsslwZkuDpnxR5rH51cK
j/K7Ni6+GEAjTBGW6hGOuyVaQBMNtq34SxUFT31DFd9y8JYzK+y6XV8mlCgIs3nn+uJtUfnGW4fn
bs0d6GYnqXtPjV1ER5WV2yfTCdRGTjOftL7UP7xe92dV2+Vlzge8fYjK+X1WYreBs2DHP0vVstMJ
02TcFSLmUWAGDTlJRkPETZ0H/rcfmRwcQ+SKGwk5/7VrZP0+20X5c8YjjMk2tJe1eikD/LemLp8B
eVdbd4mjh0swveVg3PpiPiZLaL1e4uu00GbXJMKUK5Zwu6eWnLtL3TXCdKrZ7vDD7ykjH+/TPzPx
5RKPJ2uyROW7v5Lz3J6XID1m4CVWb7coqoQbht/xEruXSwC/WaL4I5n8bAnnt0tMnzDYJWt6aosi
IvxeYQ4PUKZp5lkC/tkS9Z/JK6/cJf7fLCCAdEEC8Iu9MPiFGxnE1c5IAQfkfzIE/qP6/FuqD+wl
QIH/WvU5g93uv7LpH/MKtFMuX/S37CP+YCYnExBI4o4WKsvfok/whyuRXgJrwcGQXII983daIfhD
kBsQpmnanmeBjPkvEWgJMvjsGFzgutDT+Kq/ceF/MXYgjf9LIuo/w1rBVcNpxVQb2PCyhfXP+Czb
s+PGh7xzGkTIHZUohnzUpIt2ti6BeQKFPA3mT4rJ8Gcpx9Er3vU4zKuhOzTsnPe2AmdjdvhF/xfo
FDAx9Kd/iFHwq/GPc02W7t6SpPhnmPbYUhKGF8s7SkSM6j4IMvMe5xF8xNQIsRSLngFJOIazTRoi
5hFrGaMe2nUxBn347ZeleGxR0VSzrSdZyNe5NqLrFCvdrZ24ZVEDNQP6Qz7UQAI40QjvEdA07ws2
Ga2xcbzO8A9cG+YNHQ8ltiEB+CQDFsNmoXmJAbwcKtJlqV4Hbq5uPrlO9u2yxSJuZGVwQmIRHKRT
uh2b4Fn5fcyVONC+/UBAq3+hPp4y7kahBQc4XyIGuFT9LKbC5LlMAhdwS4MJI+Egm+BpLFEvQFhx
fsKvhncGAQFzacr48cg5yQER6V3ZQE8JI2PfJHNzonlD7Pvebr8SM27uA+BGGy9tz6DFTnXltc+y
TKATBFwX2CV15zAklzwag7GBKauaFUXs3lVBlyJXHO8MIAjQWHpR3QwneDdtljRGgumD+s+cnoow
rOXK7F19Z0SV8Tj3Ga2aMp7arU6G8RLJ+QkgSH7fTJg2gO+xSG+1J6KdnxnOz6YtKD2sY5IWONBg
w4BQ8W64HerbkJQ2kTi/eHCHWS58ORKWd3aZt/ZLGrFHGoWRUFaitg5Ogp0Kcv08mea4KmO7PI5e
7ZIeLspdTZFothaNR3GCDZJmLiWbZhs4rZzpYLRnE2eGWRMEnDu9FiryHvmrqzN7zWaXoqOcImEH
p4A1/immHhREVWnmbzWT1HMlq/S30oInV9Yb9ZNqk/lql9Z4sQdTfkcy9nYO4GU85vzrmR0h009D
s7USLP10Tg3kbZSmG6nO6vgz422/sq1mXHe801jjRfpGFkdfA8uhHU+3/TZ3kmDvqDjfdsZcIl7S
Lwg11L7FXQF8zMQSHTVJzFuacSTc6YERZD0rx3tz+Sb4JnJjFfostN1Ai08ron+ySKfp1zID3ylE
mQ32/ubg1M6A8pqm3ntrTXOzJmwkjtbgpc2GpfREZqOTYDGGyuIqJ90W65ulComJNCBQx602mDZ5
lEesctvQeHbHFknJMfKOTHsjzgH5YZcZ16TXRs5AYAuqty4RQA2oUpq/Hpjvee0M6TZtB2qpEHbw
kfuh81VoR3vIebp5nnVdXpb0NX++WWV3LjZMPANBuF78cny6YGE4qyh3woHER27nG6tDDZWEFN29
zCrvSKD/JYj1/FMC79+GunWOAZIMVlx0sk0tjOrKSajfuZb6uPJ8JnaMQVjJNlnSZME60iXm66pt
5EcJcqnfuHAa0lUlhD/QDV87x1HM3B0K8MKEhlj6FJcJ7yrbsGkYjhX5T4KpHCJw/EI/vydUjUV4
SCLrvs0d/eg1XN1RI9ACcfW0+T2ZeFaI+FS5B3HnN3Zs4VlK1Q2jn8dxcC7iIEcSomz3ByA1xe2I
6mGaqSz7LqS+5GIwerUbadPznvhp9Swry8g3mGSdjVnxv3u8R0Hhiik+DTNdWdqK44fE0tkLy9Ty
2Xc7LMrEgFmmYk/leObwddss+0qjzihXCY1quHrtxnugqjQ33tCXZ5zPSgU3y9Z+QrVXEfGiAMVp
do5ZBL+aGQLLVAj9HvnstAd2oTckL3UYmc4I2xjY1voqPphWOpirTsXOOQ4QtqVGlYYQNqerUHjx
o3At65Ue+eQmKcAUh7ZpoweHwidug5jQ8jWFe+1HNZn4wR2mM5eFBffokIzxZ6wCxUUfou5dh4uN
pAtbjRjstr9Y56cuvjfGzshQWlp+XB4RouV8D9h6g0BQ0ms/YKryI6LAnC8OZ/MuneiFbTJr3Cpi
AEj07OSobQzfFm8g/8GbjnOeD3mGXgFygbzziso/Y03cyCrXqavkRUQwKVZyskjrmq1Qp2DUSXgc
OtWfO9/z/nzZDoaPi8JsjJjVBP/IQchtG3tfqW3qjfYdTBNqtH8kWIaO1IHKB+xxgp9afFmqDXgj
upl9Pxr1BTYAR46bX6LJD7/GFvqE5FJKqH8JchXGxjfBetS1k14nt5J7pzJqvmAerXtMeLymxHT0
1e0tqg2t3qLRk6VvzxYYRdI0PkgRqceGKeHsuIQs1iAWynfHDYavwc7bc8YCDJt2Rb8U95Kf9N1U
X7xLXXvt0KHB0cFewN9OAD4vbYXZHTnQbs62r6iac+2YmirqA6WzpWtqcjbo7YG9mxqkXtblvfnD
S7uu3CpPZT+dDhz6dgpKe1xFTsT+JaWCZqYGritwm8RSf5atn88kJZPBoLiMEQeQS/aDKxwvV/xp
OOlwb8BMuk2m95SNoQtromB2wkouZ4Sl2L6jERirGuRB+gLp1Tpyxao+pirsdl1vFJuqM3m90I3h
UsBvKT9sVxV8z2T4tmg3WMQyurgkyXracVtxaTnO+BS1E3ABtLUBJIhJOCP3O5QbKa3sk9z2e2vg
bXEnsbQTpkF9Sv3QWOyVPoV2NhuwmChiiL5jUM1807HZXfGKT48QEpOnMR9MWv1a6LVE2Szy3G17
i4IFpuD67l3sVliVKj5il4TGAuzPI05PllmJjexZYF/CpDNswnSSXzod1U8/YPBkRW0EJ2jGerlg
ulZDeWUVbCfiDA71BM189FNP4mID4nnpCnOmqDLJ6aIajZmdjSS4eVFidhlIOUfSdQM3wV1zPWle
rVROxuNAxNzZ9zz0H/nUYmvAAeKEW3q2vdOQNjwJHJgy6pAp/p6bUYdxyKMVyMuqym3/CS65s6mU
pErZQUk9+w1em1Uc2PXer7w8vWviKRtpspDFNcUQgfsuUDeMevJDIZ7sKw/c1CpLMuOL6JNx8iup
yr1qG4qSjKgAbkIhE48MUKT9PsF+8mBRIFSc/DoJ7lk01L+D0nQSAu8R9dR+mpvrEvFwBQMMWXfs
ETa7s+dPFq7E/4x1/9ZY50hh/09j3fH7M67+20z3/7/ir5lOCPqMHDRaRzjcFT0H7vnfGXQh/7Bs
W7jMb54vGff+mumcgAokk/2c5UFVgbvPjv+vxb7DiBjAHoXK47qBK037/zLT+c4/kVTN5TtAVaRT
iay9sJdh9B83+5kIVe/K0LtCSTCOUViO6lwC3AHl5kMAkxE+rCKz2SGagZc/zUntBj+prPkVA+B+
Yryx3bWo7GfPE+NrJo3k7NqScEdu+UTl6tLzl4hKGxC+QMrvbsBqIsWGTWv1YpYqJHY7JLldnLMg
afcsZtL0KulgYhOmcn/HMVoei3CCRpr2al1MAqdbkTu0CvvuDmwoSUgKrB8zanXp/zZ1eMnZAlza
3ur2kzeokxU0+nsW+YdTdAj2QWu+55qHkUlc4KMpMpMWwMKDgNV+2lSi8+/1Y3ZH0mri8zzF44F7
vrPjhTKu1A+HMLUkQTeoAk24bgIrGjCj1b2gENBtc9QbzJ/pPcXZ1uswjUuTVL2h2gKXYxKbt4ke
g1vXq5Ichfmau0nwMrqYjcZyJGdvBa8j2bXtYGLhsYfi0UkNYvt9Y12bomiONJEjTKdJQuS30kfi
GMldYOSfQafYnIHf5XblZWdF3eE+r4yBxjMZQgRw7V1WivxXkScU7qW++GULy1ek4pvqEFjJr77n
oIWRM765wtfYDpOUMr3aJ4dV5P4HD2cubhILJR7R1yIpXumVS+5KVQPbjfUARtxwt+j5FYmARK7d
mpbEldQl26KcVZegnTMoniTuIyYYfM3H5R35oobW20FXgg2DsSA7sKBWCek6SXtUNchNaSCr7k2A
WhPM2lH3uKFFdHMykT1MUzvfhzyR1vGMtzi2LU7kxBxdfopd4XyQzt5Jc1ishWEnT9pr84sL2fUS
o4nf0RBCDigO9QNDdbMrSSB8db6TlysqyQh8ZoQ4A8iruKO0I/aFTPUF5T05jG7ZXjpCTaQAPB19
x7DM1nkN5IrepDJaTX0tz3SoYuNMOmle8W/Q4NiQK1415dJgrLwhWEU+XDk8ZsgTcF8scImZQgI0
ZbKxonjYDbHFcGgUZL6qwgrOA3GmFOOpQyoDob7ZBcw7ieKXksqrT+08tS8RcmexGvAS/66wZGx9
Pw8OEp/IpXGNb292CZXHcQrTgeJgLJMGSZ+lJxJjoV3vZGoGr8gEpEobea5DvCyFDwQop9Pi5+CJ
fGexkv3ioTif5rEY6BEfYm+vG7RdtqP6Lagc+8HIQgm23Q9xIgIhxP+tp3OlDfqHfexDJ8ZjXW+K
kFLCCWbwA8F+MrIKwdXzqFHoRts6tsCAbjnstL2f6/4H6MUKuGsJzDkNM4PdZ5ScjZo+cpcJicJq
YsBUWiKyUfoeIOhIDSGxGSbyjAPxoy6cton255dhVIRQtRK7GB1pQ/SKlwS0xF3sl82D56mNCP3m
mQezdwvs/tCU9nyvEYLp/5Qn7qgJWlJuUT8ZFuxstFc9EIc1tkKLljtg7U9PWZvXd0U7WM+WpdIP
Ai6k4z12sr1u9NGfkjg8lmYgn8ZUWeuATZBNtPKOdQKb0Uo/Ro5qLhMljkSAffPaknJb45GI12XB
yD6YKthEtiYHrMQ3w4Z3rR1VHmFRW8ei7ZlwBYXEcL8sxqkw2jeUFm3CpH42ZD2BP7bs7ond2fSr
MOt6PRtyOhDfdh7lpPA04cccNiyW4rVI3Gwv+7HeJCEHOenXjtrnfnwpc9PZET2O1p4/eHcmbm38
OhxEAbUhmxB+3rtdmfFhApm8yAYMhQ5pMS7LrvfOQ3A+OEFg/BKpMigwj+01JVP97zRkZHbcpLq1
ihrimvgB2rj5Gc1FtCUHxQjO7Z0yrdag8BZo9bs1R92lKfIbilIPYoTcr9009RlhrHuYy8WhO/rz
gym4MrVxk6lVhzSwdbCM7wuHBSEjhb9pM3/Y9DJ2fkXLwl7LEYABklHGmUlEOuMC2jDJXGKD9TbG
cf1aw2ZeO6Keb5RtBbhOKu8dnj+fDdtj7nRp3BVJNt6VBGE4sCKAem7ifGT5QNxNquQqQvpuwauI
T81Ei31mfmErhPagJ+vgDl5dQHcOIVYmFJnXlBMeiyC/zaY4cnswV1ibhbfNzIkXuERDhscxPOo6
i16N0UUO6IuWdGgZP6R5O5UrQ0X6B8w7hkCblAajMpk03o7BgXMTYB3x21Ya9m2e+4c+SkAF5mBr
UR6ztct77zmdrGLh4674SCT7MhCQK+coPga+ccsQO1iBNpXP8jyM1k4Z+YeEAMou8rt8y220WJt+
eEEHzLjztv1xcbyw6YdwqGtoi3ygSMEXIDKjDtCMxd6PrFNYXCK34fjWof7EuVvvjcH0zvPQyi8h
8xztrzaubts8opy6EE6cF3NyaLwKQsU+y5bHBo1r7/ey3ypXDi9tEfcn1yuWYubuGJP42qksWSrP
sD71cy49BoeoPSWs5/DrRc6tjcrqYV54tkz17kCbyyM0R+sd9qa+AJdjjsSxM7yKJDEO+Ty4l6JO
0pOVuLvKTokAoAqzyP8x4usmglXkWzTJcCWjIX8O/Kje952v7sHlCYazGnaxCn/5eL/WGHPiPbYF
JhcWyoeWTrFLjIp+rt0sehsCyCGyHaoNYWSF4OzOv6GcP8dFSeF3lsqnLORX6ESGBQ/A68pL7buB
U3Vbx+IjbNkGFZUD+7auLrk2JrCR42UKhfOSqwzfW2o7W8dohj0lZ8EuGbPwo+mnce+MSfPB8onN
ZNAHLI2t4Sh12u8IZ3+Q8YKGYBZiF7GBzJZlYN4z7fYuZrSJ/jaJ8/sUBNNKZlF+HruzrGjLgs1f
DFewF9FSPAMT0JT5S2p45ROXquxcKp9HvSvYcyU689P7qurEPpBRfUUz2BXeMmuNJkKTDWetHF1j
H6dOsQNgEV0krHFyd2l/iFgGYsDQqfeAT2E8xuApdvinm82Upi5zqP5ACEvXgIZdBDIt5vsac986
cxtxopa23Lm+Hj97H5Vt1Soc7GHWetTX5hHxDA9b28at5vGrzOL6w6Pux+Sa+1lEQbjhF/ld9IXa
payfq/VUGs1xak0f3TQzDtHcZN5aqgwZWzhZeVePFjY7YtDwiAsVg4mIvkksWPDqZs0jzWNidAN8
XlmW3nPvXTPK5zttefPODGueoDoUxF2zCPsKt83Y981DaBvmb59V0qqb8mHVd7jVKq+LtiD5mxVX
j2ZLqvbRBZRtYxyY2OiHRPtVaUFK46X+oAYnOlhjGG4lkcB2hbsswynZt2usaO1G6RxrkQIR86Zi
swl2opcLVN18lMTBKAomRgMnuxNfYy3ze5BRHAiDlWPqy6xdWBJ4E08EwvuUVryB2MtX0hcE41ZF
mQfFsxzBLzin0PWT7NyNflA96wmOkwQsOBoGhI+Sm/IqJRk4Iz+ArxpIuKbuBj53JnH9R+XGgLbQ
wU6axl813OdvHfAbckdw3/ia6sOALbObrKE+4g8ZG6RWirHM1k9O/eCrO1Xz/yZOXb3bfPLsbGp2
/ETKEtCONz2b/30i0TKRJcfyuwlNcVclo39kQTfzCWaYu8ree54hRK8UZsZvAvJtCB5hrs8U9ukt
Bq/m1hTKXqVe0WAarItHU5NvAcU74a2JdX9w8o6q8LidNtz6LJZJXGEs3RbkCJLs4DW5s4UraZ3N
soVsaRJIILBEy1wek9jxpsImTsfPIzNU0VY4OK8tCMMRcH6N76gVBmQuM8/WJn+5m6YEYp3k3fSu
3fCenCl/VjMPxie8kdFmSEkErbt+Nin6jmB1dG27IWnDGgKxx+thGdb+vc9TmF0UlrVj2i4ZyrYu
i9NYpOlzRPL4HenJY2Zqh+tUztFT4c4tVBj+2MSX070RdExfrlXEVyMcdEP0Zxy2Xk/mkJSPegrD
wuw2pHTTfY9fkqRIs2RqA8ReFos/mrgRbwKY8FtZRT/CQpoXx4LciBZuGgfbquFBlwGLfuS5swyK
+gmwdltuWEaV8g6QJMuxWH2yWsCzV89E9ldGbM5rH+B+QuItYqFpwnO8z/Ipf00Jm734qQ4BkwWC
QGUvrD2jUPfCXl5/D2Dp1zWEVVCKUU2mOSp3aYMnYDM2Jdl4r/t/7J1Lc9tImrX/yhez/lABIAEk
cjEb3kmJEiVZtqUNwpLLuN/v+PXzJLtqwqXudk/ve9HVFeGyIJJgIvO85zzHxapVgybuavqYNtRL
jm8Luz52/Ibbrppymi+19NNoU6DOPzYhKF+zXjCIAmC2t61vWFubYdQRg3R8jJYluaXaKD7mQsk7
WKMcYCfS+p5pvGV+uTxHIQaeFUk2Xhxev3Jruun8JWWpIDNDUGm9JHK5N+YS8xhda/tOJ2jQO/2N
WLivmgUHnVWbtJ7ZJHoqdr7rGMPMoUgCCzIvc0LOn3oja7nNrSvYXMeFqYmbCzrfXI+A59o4yeuv
ZQdg4d5Kk1YQK/c4jNUWTwGo5W3kr/vIw8W0QhJZvhtY8EZmjpj+vAiHZQwEY/7SFVM1Mccx8POu
jI4Db3fpzVZIe9v30pakHUUzjTe8JY0PpT+sI5zERC6x3/3/3BnayMElereE0x6ps/7EvG/6/JP8
8w/KaSzUmZ+n0YyhXdNE48TxY6Lu6GH9z5pKVU9jkglrvAuN1t0YipykhQKLOflo+Dikw1c7F/sh
sU8idXeG0+xAFGx9GZyrftkSgNryUvdqSWDEx/tf/3I6qfHTpPxvv5vHJN/xwBgxwPvr75ZbA7mg
wB7vqqq5kxV7xeAQD3f//kVwKzgSlyfG749vgJt0E4deppCxTYkr//OMbFfIcne9zH+wmJ/mCrjl
t+851eIx/v34vfurwOjrbrp/7jQ5ZllcUG/yD/7Sn04TiTWEGjTfcgkdoD7y8/5QJZUFNNP1fN00
qWxuYgTLP3VJmz/Cyu9jJ5GcqbWa+IcuKbzfNGOThinQmb4yvX8rcUQp8l/vU/qgaX4ncETUSaIY
agbnz9+h2IuRb6w2Ok01oQnUfBg7rlbcq6v4Pmsd3unxrJGYhN+vm7PQxgYf4wKJiLI+NAQcg7Wv
df3lKvFnV7m/08o/TgiGANZ1IJDq2UB9HRMM15HBDLiGAaDdDuyUcx+YR8BpZdVfhw2BnjtgdmAE
0eppxHIdTBR6RsFpQjTbgdYQRhdjSQVLGzDQcIiKvyk95bj67zsCmdsQAlOxiipN45h913Y3FkKT
fatsrCOtyr3z6DD8zof+sdWTFXkdsrCRY+Di6tlLpacwk57HNKGdP+owSbGVU2mASfen0IVlaALH
8ZLqMXMrohfhWKOIlPMhHD3wQFUT37Ds7vGGAj2IyrjcuQWRC5upFW8mRCILrhLob0Zf9pdMYTKI
RZM9WTbtTipyXkMw/cyeZ7Wh/0VcejtpjkPJHC2y7EvkLe2GZhO5NWY8jVNlZBchjQybw/jomuxp
3SyDylFNMnqHWl/tHcra1yhY6Y2V52Dqval+HBoW9VUfxeGZbadzN0aF4Hfrl/7WHLe1XZZ3QdXk
P5LBU7uB0uNd69LOihDWPtqeencDzIhWAL3dM6IaUwH/gN39RRHoWmFIIgKfuadhLPGe0qvylDSt
eBSTmm5EJcdL3Jo1cdzoLaEU/RuUh3HDQ+MGaWreuEDFVx4tNDzJK2ZK5ZQ/ZU2ao3hl7Z0NzGjd
8Y6sA5U+NFnS3RkQVdYx39hnTHwBPnB7uptp1tlUk2tvLZff1JjGEK5ZEH5afAkSOvNBsK6TouSk
XSQJdviqsm6IV5un2ey/Z/z3DISc7EEORJc3DOvUo6Q76MHH+YEEFiTI7zRI3TmaYZdUPFFSqCj7
xeiLR5NxK5i7vru1U8e5mWGxVo1wICja7bmcxPKCDkgXndF10clJImtDV0xWc9gfnE2dpuOejXu4
Mxgre0K1JzPyzsPQ1rDBPcbSdeknaz+BNIn3ZgBWyT24mUzi3n1ARsxbus8GTwTs54804ZkQsm6c
ASI2DnFM7n1yiURzb5AgsuZGbVTmPLL3yLaFX723DKSPzAQ/z4L4BD7X11w2GWAFwA4QYewbeJBA
pfUnNX83QtzTpUZfMNH9Aq2KnMesgkM1DsZ59JXaBnBnNonpvLAYtvd2lU87A1V8naWhe5zJzXx2
qN2gT0q2CJeNyewVLERinCRbNrgZNtSqgGG9zJt9RsaMje9p6WJGk6R1647cHxGoIuAIQVaT+LaD
DWJK8u04VvEuZe65dtgKYQgT2UPlu+GRflPITJzKjjRLM6OcGCsXXUrLGA/s/ZJO3tlpBrj3Yjw2
sxOkGwTI8WF0us/kOAyCxLMLjM+KCr5gZeuMJtESQyMKa4tz8WUORpHfQt6+yxmalzWeGs9b1KeE
XeHOsbFiRH4cXPAxxPfYmL8V+HqOjJpRVWPrm1fBC1lFjdm9tg0vmaqeatNUmX0TZgVHcNvlljYB
7Ay5c8UGZZeZZXcVTax3WdnQACCL+XXpFTSegPUZK3d3G8/T/KpmuBb0Lpj1U92QhzE9Smn8Ir8v
sRhRTabYl15CNyCSA6eoZVrisNnLXBweOCzKY5UOVKXERUcde1Woxy6RP6oS/Ta0scONkZ8hKvgW
7npKoPxV5RV5qYe9eT9xcO5dxP4q9oydtUAS9QE17PD/TXzFC+TMqf8cZXNrOYd5KLpTXphRz7PF
qN9TIwEMGOHgMLf4kGzOB41fEpgsJ/+Q9gggt5PTeA8TD+wn0QR8RdKRWw+lanC/tqAzTtGSz+2K
Mnv3rePuBxXS1yBuLSOQWCS8Sj7WNLhxSMA6fSpt0z/Vc2DsOpUUYJjq7jhT9HcfZX32RNmOkCvi
uHIfpQE3rlrG6KXynXY7AHY5WAyTv/ns+tWKXiz6fsO5c25DbHKoS06FHLaMcAuHipPuKIZhWJFd
xfbN0v4DqhdbcxjW47kb2vYyT3Zt0jAzc3hecMdg7neJuq6oy+1hsYn6W92Y8QvPZJKNgNLPJBLy
+2Bw1Q9zinqi/VkgHg3cLV+MNFvuclMeJQeU3/NceAANlRuTrRB1v+pd2Lmh4qDjlsMRx0e+btk/
zJsZEAvjxYB3EaEu8j/3w+zeIk1l343ETPDU9zbdjB4osIegdrzPPEfUtmLusesZcRqIP7IK1qQ4
ovDYxNP0nnKqcViMQqIraTFcJsmhh0hXZFzixGspcxd580JvWXonsioMuYs7B6CTyhcizXX63enq
FJAWlQVtBmY2XorgyMAqJ0kV8WWtyq6+X2oBLb8dAZ+ubGrs8u1sK/NcZdH44o7z+HsAce/Vd2jX
KIyEA64RqlCBAQC91ljJcClc1puVaBtcBObc3s8N9I+VoAYH9hydUQdpjNWrCqfCX89L0B8rqxMk
g+OkRjqRefKl9mMHmm4pusfEYfpGYYioiRFV2ZHvHFx9TDkVtGCHEz6/udoK2ZgvYLwDZ1vEJtZW
azDcfY+58DGASLRnkCXXBSMLwqS+Q9ZERAi+rjUwYUpteQv+pD5ZuGg3XuWYm3noW2JK3HAyq5b1
RPxwW5skleil6rb0KcL6tdrqwerbDrubq24zY8BbJPHibyaZVMdWOmAM8qxoXtIm6RALw7611j02
pK/pTK4XYCwnTzqg6uV37VI5BybTJ2F7b6AO1bOMivxbGbblTkTk9jYs8eD85iElBULbIysig1nz
GEtTntXiyNfBbTLCSBXRSTt0cVLOYhZvcmRO3AWW+KzI0cA3zAWMhbph9FmUdnmgG4B/TfG4+gd6
TeZHPw3qQcNYrG+DGuC9FW71yum8e3AV4ah1MtmgOrEABtvQHHvuJbOFLYUD9buqmSttAzBy2jiS
BF/JExTPBMW8dieKaLrp2x6DJUSkCBIl7KWcQMIxCdOLufTx17qQd+EMjyLKhzUdNltybAyX5k49
OJ0y73riHJtQ5YwhXRLh9/R/GCvfCuW+JiBSwT8cnDclFxvcY1mFnwt8VozlsFcSkzaEBZOjjU3K
bcIQjJm9bEd6Wo92kpFadQCNLJXI8Jua/a3FBNDrm/x3AGE9OKHek/SEIj2vBpKnGzA0zXOIK+HN
c8pgN5Qmhjc+TVjt8Dn7c2RP6TFkm0UEMXCRdGLwLjgEUyf5XpH6KVYcPsloGFHG0iLGc8nY6EsW
TNknBLJoj5nT4HwQ9LcNMx1U2NTzb9Imx51pskfMx/DkQ59qMUnXPRQ5BeqnsMP0a+tLq1kxN2YK
EMXgXDG32d6WqehykxpWdRqxf9zyCrNbGxvRe7DEHaH8rjvkVT3sQoXLuM5CsbHT5Us1M9JeW7bV
fAsZ0FxEXTMcM+Pm+J9T8v/NuEOrwy9PycX3+FtB8zC5jLibj9//+78s5/p3/jwkO79J5YJqcHDb
OEL+lMfwfyNrxQ5MCHk97P7k3bF+k+Q3TFNKYhfEO1BY/jwjy98kf6D/2h9H63/Hu+M4Wkf6Scvh
jCwsfgu4HKxavv0x9dBzWouXaDKOVFNN8FozUIYJfYgaao/XL7r6/mZtAWx7AzdgGtrWractgsvV
LWhp4yBtP8N3iYHlfiF0/qquDsOQFgCyRtp4OGkLImzT4jV3A3E0tUGRWKYHP4MT2hlnjb+s06ub
sVWZBwrAf5LUrDw2Uz/cm8O3XJsgI22H7LQxsrx6JJchKxYOJBX9HlcXZXx1VBpCuyunq9NSXF2X
YAvTt4hvcYhpIafsZ6aGT0clYjLQ2soZZDCINK1DsLYEC1OZxvadbQY3lSOlUAm1uH4i9rXStYWT
toOKqzOUBxYuUbovPIHZAvNo1VbVCz7L5a5vZ5NcASbTULXjO5NAjKddTFsNm5n5hrFU/QAsLPzG
ciJXs8/RBerPsmnoSQXSPNPdQe3XBR20hMDhT9hk53yU+2yK0zufZocHJxPLrpq7zYxrVsoR8GvN
EXEoelrynBnDdiwv1tVum2C8nVoo+mLK/YvnWkwsuqR7EjMZ2BhP5dYZZ3EIlsrKVgVxkpPbUYCR
zEt/Q+sa9t9FO4GHJdOm4KtBONZeYf9qG26MOfuM77x/6rW3OOktbMbwEK2v8AODr2BgNW0ZP3IB
OPt2XPDuA0byViW57PU4BcvtElr9lyydK1h/Km9ux6CpbxhCDT8Uxhc6omftg8acHt0PTpFtKwwf
YD4B+WO3YXBz5ijbWHSU4KqurzlFWs5cEGQ5oq+djO0rDLIs0zVFdbVKaxFeCl8V1sFsQ9pcHR8c
HrNh66IWl8sJUzZPFnHRHWZI58a6esAjbQfnHEy6cMYjbneYxUdtG8dbSZU29WwvRhE2J5hp6nfc
GrLZeVfXuXV1oEOSwbmdePjSgcCUxtckFN4Fdr7GsGOZLVaqXdJ35+pt7yMi6SHgpo3S1vdam+D5
IFOy5m10kVPSnlttlpdX37ylLfRRUDhYReYw11Tj8pOvzfYYRfHdG9qCb5Whc64HpwcfX+YVzlLq
MFo21XzFv05gamGaZaFSDu/PxBQBksAQm/xfWVh0AqwmNcyJh19CTWZ2WyCBFR07T6NbDvmICykY
aL17nEc46KfIjZJDPXoXy4fHXjn4k4XgZDY7jcLzy1dn20599hIEzHXhsrJ1kj22OuijdolVpXWf
KOUjETpjIF93zlwTQY/NO4ez9W2HZ40sSuKu2rKFpZDSt62CId36ArNLwxfmMWgxQq0gFGfPVJ5w
VkWlMJOLjIEpqI1TcZJ/cpYWv3aGglG4wDJr4zD2zWeH/fODkfq6qlsfjwXn5CGkhKTUR+dcH6Iz
fZyu+nx+QKKwj70+bJf62O3PbfYwNgLv0R+HcghDQmVbWfFBCs7udPHFjECiO2pqEAM53hNlux2S
EzMmfpIw6n2vpQCFJuBpccBFJUgSFCzqVFcWgEN+jJYStKgQYRelmB2hwdKSA1zH9j5GhVBajgA2
xKRdSxTJYgUMsjF2z+gXhRYyAi1ppPP3ph1uuoX3MOjMm+Sqflik3mgbiJ6nqzSCRuJLuJo5qgn5
/GyL2PdoakGF5s7PnPnuvTFJLh2aC7MhJovzjdRiTG6WT0NMMi2fZLcetWoDV3zY2FcpB1+QfyDZ
k+Le0QGEv4k+yD819qNTI0B1amVoVv6wpxQCo2Y748BxKGLaSJVGp4YGkJiXVy0vzN/aMwkFZ+cR
mra5jagxQQ+A5GrjhNE6Ff3Ke8MtjL3DNnfdMZ+6m6/SVltaw8rXeldNedAjUypmZbhYsodUK2Oe
ar7LMjJPaRxaN5Rn1FujZfK0rgjH6XUW9gpJuTn8JInjbkhclptaa3GLVuVCL5zv6MLGNTVYzfNC
08vagHUPKyF+cBuj5iuBxtcgeSGjoPvhRsqfhiwIHlytCmLZJK1OGI9A73CjOHhsUq0iZlPwLdK6
oq0VRltrjbFWHT2tP1KHlq874Z1arU3SIgSh2DC/uFq3dLWCGSVTsFYQCNk+4pnnXPHoG6D4ln6a
d2Je1K4fZfaD9FRxt4zbViulY+cgmjZaP2WNMW6TLkZUraO8fgSWlG1qrbkKrb66WofFox+9O1dx
VpW49WXaP3ITZneqNLML9ZLMELWuG2uF17LMC059Z6O1zmOudeDMF2pj9FobHq1Xd2jYHFtG+pRr
BdnVWnLHFHvXXgVmlkMtNuPwWVsOBebzVYx2dX+q1qcNdN2T244z7JV4Onodz8gpXbyjkZGS2Pxn
k/x/2iSzXWO+889HSTdEV/5asaYjKPyVP/bIyvnNpb9MYpp0HfLJFtHcP+3tpv2bibedCkW2qo7j
YqP/c5DEuOfPTTGDIyZKFpNm4UFAwh//IZT865Dyh02xSdyZRzxudnq46SryPhja66DzsyScvJvc
rnxrTaGHBVHMQlaBf90aVUdKhHMpTz2aSsvgrqRqwOXRYxqsjEuHjf8pw39o5MxvPEbJW2OZwHMe
/KCnK7EXA+N5WUPev0sjnPtylzeIneNdRxMhXLzZlgA9AdRgttl1bZZ7t4NTt+9pOD6AcJCoTbYh
SRV7cpfhh2RqUYebyl7mJ8NfFusWdm8M3wC7HWdRbVRe9hwRweEVk5XRt94S3FrJBkrYISMoXF8w
padPTR2olzZbBKtSW/eaaj8k1Y1XNBG75Vl9NQRnaS4xe8t2IkQMUJKzCt3UM61V0GL8+7QuvJea
vejGUOX4il8kuSx8Z3dlP2MNwV+ht/w2ltBSRHQudKS59umSZ8cE4+QrZR31V7sVdgkzLVbvpfLf
s2m+800ovRiTof/xj+A89J6gVzw2D0pRT9MlQq0n9l38NzTTP/QJHcFrc55NWLZAglaokipflX1J
ypgWo3k1Wu5wAH6fX3rUoc9TlCMyNPO4Z8w3PyjCpycDRCZb7timciwAvHaIsiT+zv3gPiQppvLt
QIbxHu8cEzDXazDbTRb71q74FC0S+Jrfl5cSzWcNvT4qAfB29tlxB/uLUWYQ773aFvelE/YbVWVw
iSQjiSG2aGbA1jFs4t7pt5Zd9Fsj0lYoQgM7MYrlkDkJpPs5qJdXmjuqHQ0hxh7/x3J0Int5Zz8u
jxGmtKfFnIM7UA3lbUkNKCjRxSAj0C8e5NbdNDidDUD5z/9nX+MM0dlwtcVlHZvoNxBkBkWN+Smp
CAQXJ/YuY1ZuZBfUidox8uPBgdEf18UIbmnZmhHa8vt/VtT/04qqbP+XeaHbsofg91F4+Nvf+lN4
8H9jJaR/D/Cnc0VB/O+iynrL2B2HifQ9S9jI3P+7qArxm2n7Njkc34MT8ZfeSn6gYmDPyB8lmSj1
v7XICm0S+Ul4INKEzM9K6GqJQ7ofTSTx3Iw9RKXm6BJ08zdJYliPZlQvgHDialfWiY9jsZLmW2vI
4JOksx0+VxGcjCZmLM65B/ictG5L0yv2nJtpABisjP2Ynxqf/ConbRzRnLYtzU6tLbY991Zh9L8n
DfIFpYhg+ewasnLuQ4Pn238uTQfHG8A5mjZq0ayt0GzGfUcBwIHcovfUF/30LxwuH54yvAPIMbbD
0w1DFVEs/ec/AVFphmwAW1TVkaPrdPEgoe3JOCvw8p1+XfzePz10L397b/8flQGXkglV+9//9cG2
c70ezzUAcTxN4URry9FP17MNy6RII62Oo9GI1RRmb4Skh3Uc8B78+kofAmH6SlLYFrYPSB8Wz+S/
XmnpsVSSBs6OnLfbjY3RgOQ5HluyR/ETDk5nD1c6ePz1Rf/By5P4UeCLcDNR+an//KeXl5g2BzrS
6sfeIz+5MvT+uTVt6dLw7BLi+fevBrGcbYnlY4PS3pefrxYqf4yLPMGub45uei6afNlhWLLG+z5T
n359LeuDkUW/nxhLuYgUeFkQGP96sQnnc0TKLD7W0ZSJtYhgf2zqOi83fmMxGSVidt+D/7gd23Q4
YCLpqi0Ezfbffs14aXxiTyZeGsmi8tdfAyuNnCkrTo51T1H3hmBwCwsyCD4pjynpv7jY399Drmnp
9LwPIRZg8Ic9WANYQ1BzlTB3WpaH0m/aDUW3/e9MT9IIK3TsJhtZAND7F9f9+9sIvc2zLMAaHggd
U69bP91GaZjQ1O1R9lyM9YCHh09zFP040vdJyODXH+yHazmgQjG3ae4OH69l6mrhn6/lxMZoDZGK
jzH8D86OMx00ldnMNyGYvudfX+vDenu9lkskz3FwFDqu9eHDS/IOpgFZ7+MyL6O1KUkXn7JYDH+c
gv4p4ucjRke/Js5XvvJYZLhd7b++Jvr/2obqg5i0BiBg0s/wB1bODHo/GIT7FMUx9QUTuhSuWqy+
EB1psj3/+rV+uHf0a7UIozraYmYTc/1w7wBzSOMaUOUxGCgZwUxewydZjPAciDk/laEP/sIT879Y
z69v4U+PNH1ZmyUIwynGN2boHz5OKnbxKQS0rkV4Mb40mLJPnnDmu4r96L4RFbjLzihpyBvnKZTr
YOzn4Uin0vSdkXXdvFfgik/AV9Fr9NkhYKp7CpbEePj1u/OPfk+XD4a9MbsDbHYf3p7UFZRdSMM4
mEJ6b/PcOw2ZwEzxEWXe6LExBtmwmhND4r4qx/SM6x43roAwd+zT0rlhyBgcp9gXd8rwWrkjyFcm
zASVHPa//l3//q71Td5Nzna4Cb2/O4mZCoIaQ3BMycoE55cyCqVmoW277a+v8/ffRJyIfGRSIm3y
BfmwwsaGzZtitPGxHMvlQcULFGN6mtwb9uru06+v9XE55z7xmezAmyKYzRDnY1569lu3daaE5Rza
4yb0g2FDh0m/RhhNd0go4bqaSD1a/SRfjLwI9yAQun/xxlqmq7+Jf71dfcEx12T0wwftfxz9ZE1l
2HwzgoPsx2Y+ymufbKcmUR3DvloeOO6Zb24U4FwnWMFZqIqSkH/HnLKCF+feAE4MTrRizZdugIe9
ooygApBOgpl8XJrTShq1wSnCnP64ZCL4MaAgfvbnbDkvGf7qlaob70nWE31Sue/eDI3Jgtvmo/0I
pdF78qLKPHSonrcRY2Kw01VsEEQclwfKkERP9V403Of4iL5lFEa8LQbbOA7nQDUoBQp+5L7hVqci
r3Nw8UMVHBhhUB6eQEUgfyUbvUco8aOsitp2vkU4QN7ZXInnUYiK5hA6rQi4Yd75kQ2dM25yoqUR
pvkkOiPc50BKWVqsZojf+ojFu2xD9weyvm+jX7NtBN9gkn0eYxVS3xp5zn6kcbil32Fqv/sS/32R
1PLFr8fGfyythPuNb3+Y7tJScXnUZgMXXsvayehevizIq5SPqPAs9d9tAWMwsHJJXNXx2I4ryTHw
kyrFfOY5k32u63m8v769gTd2W7uIzIdK1NQIlYvMKNuyQk+cbKxX55RpPUm3RVeHyutqhQfspqHg
UK59azJeizLljixNatHWjEiWA/XCvHczuZp23Zhm9ImAl/Olb6gcwtVgFhdt1ig2icPPGcHfn7GE
wBKtZfzWmIpoeNA0c4g3XWXUMLs8FBiFiGe/GJBsDZv3Nhd2/JaFub2zKAP8BpYGDCpfmqzBLpcv
D+4IGGfdpWDAzaGe7uOZ0+tGOlb8mnkdSxNyI74/E/+Y0Pdhrq20fp+MhCwiv4s3C+VhANbyctkB
YuVeknm3nMNxhjcQcPSa6SYYlgfqBAHNaWvVpo9avCwJLwBqVDIueG+4wbZI5dW3aAxN2Gw+dy9Q
zenSBNFUHnryrncorcYnL0p5w8zQmc+hkSWn1M+2amGghSg03YN4rXc4zSx8tYSua4oE1vTpNA8h
Ks7R9JviBtiaxlVn8cazW/NsiWI59bXpHZg3B5/CTm5LR0++vCI9z1xtjaVB3ueL3KfxghAEgxjD
QiJefIZ5K+Kxe5OGPLBx8ERNY1qAFNn22kLp2akJBRlXDJke3lX7s4qH+zgs5lNiqV0U1WI39lFJ
HJQ6xMhgRAOflTLhnJeVpX6zJnOV4czREAMNDO9c5wUzrTiHeXxPYae/QjqZNsPsOxBVbLi2dfzs
BR72pbaybzLGozSpueuqK8Z9quAJA7rHKLGYHkIJ9NtYRY9tNL9hLvlWgRbfJmCyN6SAoZIxqz4a
pv+11vI1UlBFSd/k81TrK/s1F85pwcuOKzu+i7wYOd3xPg1DcFMWMvzaIZ9tI2eeTlGWswA7eo9E
7e+dFwtB3WRbP1hx1p6MgVjnsni3qaxnn2aHHFunIkxb22H7e01O6jBbJUbAIhgCXJihSE5W6ZTW
KjBCedu7Gb9QmYH5gA9lL88UpondNGZkR7uBnH5nWfU9GyUn2oyeBu3R5PXcYBh6xk01Ps2ly/6h
bOEqrECszucUVoG288idk8KmSHK8H1NG605Uq5yLsos+N6H56Lvj+ChpdtqKpe+3+vnjrmBdEcOP
qzq/tB1DOsk3LTuCOGQrYKdYG5uZvUjqA7dLC69de+AFWIqomsdsxBNBhkoeqoSjD3JVusnZ5u3U
YsLGAaVbrZvKzu9bs/sss4VsPGC+O6desPWGTNaTTedhttnBQMxJ47fprkhS92Jivtp5sg+/dEk4
3oiePqo4GE8JOXrmjYSmX0UyEYNzC2xv64F18lioJjoJut5Dom3415Yh58ZM2DtwRMiMh2xu5Daf
G1JdAD/MvBtegOz7PzpnSkm5FhZp+9yVX6ZxUcvedGMa+Ho6wDDqsx+DZnKo6DC7m4zaw4oN2U6U
ZbU2uloSxBzVQU2Ucq0qq29+r2zf31ZjMp/qTpxl7phnFTS4iR1l3cKdKtjCFJIpX6YesqAOSISK
QHD4TyIHmaKxPhnQfNdWRwEvHyrTUheXIw9hoPCwLJz3iQbeB8lI/UjDF90EJckv3+MWoB2SeWkQ
uvsRm/zO8zsC6Tj0nlPsAZewawXjRys5Bkltn3kH443AwlUPgbUfXJcbWxVnD/lgHeTKvoR15h6Y
8ItbFTLwbipALYFbW5vcH8t9ZgKHz5bW/9ZruxkLTb0eWqCAa78rKdxKCV3Sx1TYmAmYWK/Ak2P1
Midx15t+eW8uREIR4UtvVbVGQhMEPYaUCiVDts/SQr64ILU/8dLCm8lw/ZJ8nZMdZ0PNv3ccx2/x
IfYI4QbpTVEpEJwYFnimU7TQaJKRe8eJXYOjkVSDwSpPmTV3fLu66jwmeXapPLe799tpOoia9ql1
rGjKotDoOPrQCACT+jclrt1z0qPtOuGQv2lIMKl52si/OKFb7zwvSX8oNycuUkkQjowZ0ZJAhXyW
bfWa86O3TV2CG1PuQl61BSD/zQRhxpTcaCHkVD17Wd8C912DVt84VAXcELiGRF5C73T7eJvm9vto
KPgJJOkAAitBl0AYzmep+vJNWsUAQyOBjqZ4BgJsWvazOwcbQH3dxTKH9i1pUtbsOuOpwSLQpGG3
HhwCw+5zZ/aFbN89h7PiynSokv8RUV5PIril8S50uoJjUmf8qL2oOE/g2e/i0e2f8cEPb7RW+y9h
r3BNai8HjkcIAy6PvTnPKMFGESkOBt6Tk20nZFToBP8ydxblJ2kOx8IfcKAktSYdjqm1ZhcFINWe
5abLalQNuw4w52aT4LfqpoNTJObZGamKpUSFZwZ+HRDfWd9T2cHiFFG8kdBAYwVjd7Ia3Cebjip0
lrOZXKgvEhscChDwo6smHiMW6hD3JRQv2k4W4xMN1+ZOpeTkKh4Ke2FW3ala4v694mykaWpUgEFP
+VE3fvwa2PpWRlEyz5GsbLg0djMdPFMEn2fXFt8MuzJ+2KBibwOfcbBbLJQ8grLfT86knmkwGYC4
u81rUDkx20lTYfCJn9kYw3AOPHMVpfWjJ2CZa0fowvIaZAE3Vf7ZdAsTAoDxKIcppWy2oCRI+ju0
fPKUBWkFJzVz2nMj5E4Jgt0qaAX1OWOvCgHNX03xW5rZUbE2OCeTg+lKHpU6k23Yu94bf8cwrvac
5Z113dhqR0GG1G2HJ7vNQTJBcKc1T4P9AbHQD2UAb+d2NpPJupndnAit9W3BvEj4p/f39lynqzyf
sz02p+mp9uCA2L0fnmHd/zAqsGT1AtLHGwb7FCPsbmk/hBLfzNlBmcgD9jRQo1A1/b6i9fct7Wj6
44zPU4eN0AnfirNtVVzv8rFrb81uSm5Ta9qnMA9WtLxMaw7VHvOe6X4EY4ybfvIObkMU3swHQP11
RSgVELrNVvAyWS1MxyxhfNK19CgY5bYyymVveTHUzFq9UjuY75q58m66Cu1gCc0jJiIyX8a32HPo
PKbc3uzVHVYVmOv1y5gv930anLrSe66a4MySi2CUxXDUmuVHUoefLUW0xi72FbtpsjgAl8yYcRO2
Y2rfoWG5dJ0ujR4HGZb7XGrKklnab5Oy2FjRErLxIxvUdtNtlE05Xl9BLJUjbT/eez4AfLBzVG1m
/JwIwrHvvyxieZ8I83pJD6SWjviRwtY5/GIyzSE83PjpyWmqgQLveUWoSOytZTvU8deJ4vlD30W3
bv1s+kMPSLhW26iNn6QIo4Mc6bVq6qH/atiNv51IKx8GzjC3fd/gh4VKw9d8Nk+uiOVXr3UKAHS1
ByklGptjXHvIo2OijxPww6d9OVpsoWGaOrj/YfYTZzCaXZRPjy7pq++mB23vZFQZgg6I/9Y39/Zg
j+IGWiZkJSwIlBVldqN/nl2nFIwgOo8IF7Clj2HecUfLkULjFaqmQ47fJA24g0kAWSllP3SQopcU
SfQdbuWWBktiHQrR1Psf9s5rOW4ly6JfhA64hHktiyraEq30giAlCt4n7NfPAvt2h1isYIX6eR66
I3rmXmYBSCQyz9l77abnyAlLbFmTk/XdCRL/d+NbvICMSotBQHOo2YpwkFrpTsGxKGDatysyffBA
BXNPYyxa/zuEeGXtKxVnjIKEoDiahuuKb9yjU/njlQKvZolCT1lLcr3U61gRhB5Id+TY0dosS30T
G0uQW5xOgH91b/Gk9zexNSIO1pJpowV1sg+T3v8eZApF7gCi3DetEXJtIbIuqXd16itkHUtcybCb
j7yuJIMgFGWDVbFj65AqlrotNaPesbfnT0PPUNCGcUBfCZj/G1uzOV+h0vxhpZm+imq2fwszLG9F
jVpT6/Idho0YJG9R7/Sk4UPaGP7eCAVFAdrIVyBUqBHMnZr38brSVNYjpNmdbxG/yzmh26q2mT2/
/yOAmFAWWRz7Czt2t7YQk4c6m6TbDLvlcqh1qgSO0d/0pOSsFA6b9Hqm3LpzE24mnWUBRkxWm/dC
MaQv2ihD4azahLpxmhE6vIgigr0Ul5+YhX2yx0CWb61MNE9FJLmAKOYvso5Mh4bCy62IUu05a1We
ep6o/OZ+qHc1QcS3ycB+d8LX701JS05HOY4S8BbXZeIWvS8Fx76qC0vCVMa42rJV42zfEvper7rE
J4EsmqiKULxkMcDxD8wM0UBhdoJEHl/NMua/OimXbhGULxT/oq2axFQUnenCresGq33qSkoyiBRQ
lAcEAkvMQOZlWpH1ImA6XRTxRIdsEhSv/CkhXJx5p0T5tOlinoAxodzCOTmRrd5YHJNgYfD7wtL/
rQCbpCjCMeuQtvM9SVu6bBr/k2c1XBd2x22jSLmcAUZXeq7lWwQ+EpVQPl3ZuMJuprQneI9Mg41l
MgOkOaeBud38B9PYugt0V8H62ZGilqJLlHbprIbcVp8zlX8lyc16Z+fz/7eQ3C2N+DP8AIY9XnX8
IdJsaldADVHU5xAUFM52CaQuapj3ocL2WgPcwhs5H/jhUvi/J82kqBQzm4yJP4qVsHihlJgjnc/1
7kHi6bp0td7fd6FfvPihOuBsI0UUZgOvsGm09CaJ4Nn7pVa8JHYjd241KMZibLpUhTKa+to3Dgdc
IWHqlL98wtjZAcM63bp5pF9ybqmfJDElxOjAyNi3BbepawqdMBtEp+8vrN4k4a9sysoX3DQMPbRN
t4eg4e8kJVe8jo7SvEzYRQKVipys+PfcGp4Ji+9rK5puGWpQl0pZ/sxVx126NPO2TVf7e1XydCTp
60/VwBvot6NLxSJ3t7Lu5DogTuTKoAR+VWbEONU97PvlZE3aRYq++yY3LH8vUoNfLjn5iFXOcrhV
DUHxg7aos8KL6S57tDGXohSUFJD1QL1ygIEverdlltiT+hqocflCK1LBsBeWvNNFLYgp4nSKypr1
0TW5U8jklHsiQvzfNhElGLHkPAdrFRgObBR/H+FN9tkHjJOn2ETDwUvg2EcoV/fmWJyTQbZow3MD
OOXH0Dl0oRo25DWlVMK9Q7YVfBlx71xqTZdfh71s74msdn6Vnen/jgho3ncCUx6IPr5MZtRXm1HY
oFOQBuNFdiv/e2wJQZIyqk4yLwoK3Ku0jMiDey8J/z+F4ByFwCWi9I/q+epFvvxjpbh+yeAXXL1E
+dsHd8W//41/RA4Wwi/DAuVh6DNtQLj0D/5Rjtka9gq+HwRXaCSczsaL/wjH4BYIh0I/odx8MnTw
p/8RkpnIH8QsRKON7NIQABnwF0Ky46YC3QQOzPwdelGkXVhH/aDRxRACvA4Fgb8e3bUYryBR/XE3
zvf06eUh8iCfle0jPxklxcduGy2keXPoTh7RMzjEnAXEk4VjcUv/K9f7H0aZL/SPnmjtuwNJyIxi
5z8a5UcxvElxRjLw+V59vJCj9qQdFSZHd4Zop4OtHsZoVU2vX1+Fpr4LD/5seTgObCuTJo/OzNC0
Y9FJkyo4Lrqq9oSS1z8L2r/9mgVBX7OvnTzhYzlBRsbqmbZ8ohu13QyNMawtTjzbcej6bVTW9aMe
ToaGLbOJV7W0DxiWO7FiLwrcjeg0Tge1ujLk0GGF9/27CKN8SIG5je/HuZRmx3Z80Vgd5fWCYoFD
GJjjNJhNtM5rMfwTZRDiEac/vUoUO7wCDTpiWWiLhUVSJQeKlu2AmtoXKukk9IfsnNOOGMMrtVIs
1u+U5AWVwmioCOTdQdYOCPpxNGMfbC9bTKYPmMnSVViGMJjs6qelZza9RuLioEx0q8aeEIvpzaWZ
6PJhyEfz0CNb3CrUrNYFeFu2OXNeY6uZG/iHKCGHUrtyOOGvAcANoH6H7pthS/4IH4RLe4rHdTE5
+ki9s9GufHxGXkFxYBkUbXjw467/6UrE9N1kAAazCD1f2h1JIko0vfW55T+HJUqOFRTD6YHmpDDQ
tmtvdT0o6ZI2mvytVCa0DEK95CMcWoCjgyXNQ9ep/KH5BqPiuCo4ppOqSNbo0hqFRYyAL/H4Uucg
OwDknC9yu1zy+xJKNtKGWB4r13FgvskGink/yvZXPA0P5qS/uZiKvw+6AFjYKtGzTAZoZyOF30Ud
Vto27823eUfsLkIylLy4IhkkprlH3pYPsqBV+XvZwO+IBzvZZ65oHiMF2ysYLPsic9qQL3Lvrw1R
E6YCwfxABFi8C3KjW7l1WW96+pfbQtcnikKEYC5dyGNrB5cpG/HUCfaCor3HYYoB9MlaVlUstxBI
Ei8WcXeXFFN7J0uffxiGFhMD9fshDeDBg6VK9rS1EZ4rRbvu6BzfOC63E7wsebcZtdyVztp5LXtw
qbuYNs2GoGFkggOqfX/Z1uyGiM8IaM5F6l2ck7O2wNYgbvRUi7dhEKhbzaz9Vx9UCz5kXfGv9d6l
xpyEtLTmbAQM7xT6bsYQbB1ZstYSj7W5x4pcXVbKfLjJpm5nEWl36yuGsgXlb9zaZPxd9qYA1lWx
PyJrAXeE6FS6LxQgdlUt8Re0QzosUdb6r5IOJLkvfSEXhtIq24J20G8zTpzflLfkskHff1Hbmvsa
uir59m1lYirC6o7wX7rUg935fvhqQgjCNPxK6dXEy6Yb0nUY0KvU8OR4hCTql9hXzXvODtPaHx1M
BmQualvHzuut6M3+2dH9jugOER7UrFK9LtJTCxLNwLYeHieFWqqcP7WkkfsKBuA1jvj+pYaNfJW3
gXtDuIdxzyGAnhIBKMoauo246PVgvDU6DoZBWTu3GGHzlzEU/aEex+F2iEN5PQBHvdQGttNN5YqL
hCS0rVYJgkVHad2V4BpWEnEIxh0qdUuh6gxQafPilepYi2vSkPMFJp+EwEnLEiv6/wUZQb3624ws
mS3CtAjhLnTxLzFZjYe5u1lDIG62TA2al1gQcauVzVYWhFOumjJq4MOEhCeoZnWR9hbGq7CowvuJ
HV+wAHbJ3xR+aJE8huSZluK059cG97pWTPsxGasLegfjMhV+VC1jKwd8JrLY3TnsGDZkDFh0BAN3
JwCHbyRniTVUCbKKwiTKuADAc0uqhBxzXVWu8bTUu3+fKsPKGTcg+5W17bc+oTkg7JZY9LkPQzHh
ceGUdJundfXaV1KyjHXJgcA8Ct4xzG3JKvADAMAE59K2PWwN3Rsa6Wmjozq5eD8z9QV52AswCxxu
iXl+JdKGhmPK3v1349IhHxvMJ4iGOPDORyw9t8Qd/AqqCgMtUcIy7PkUjKIR779cd07CdpQ5/O4F
dFamFsydmXlIen9UVqjCkEc56uzdjXQurCWyeQKv3qzY+/KPmrWhrCOyZ67ej/N6E+jfqAqz9TXD
4rGLsmwr3TbfciL319GkqbOlJFv2FWVMdZg3+0X7QoKY3Dm25STEpsBQdPxE9QjfSFg86+7apejM
aTUUyrrW3OjKSsg80RTIewu6ZYNXUNvXISBrxq7G8QM20OmyfdxonAVsmJPtXCOfPJmX/GB1sCYP
RqN1pw2N+vzeqY3MuTLzLucUpZNv7d7i8DKVLcNGFEn2w0QIoVZzoCUtQbkH04GkSxl49I6BYr6w
KYO0qRH+ej8RJvNpNastceFrBbJMC1QhWUVYtqHNO1t2o/XOKJXksXcJRsrzijpEZSlrgcGNHgiV
heC9fjR/7BqXDogSU0vpLao9hsbRqXBpx4TUlG4NACwvpOhCpimZ4Hhqk/3EjF4i4pJr+kf5GxmW
7Y6+b3PfJIQgM5GCWytUghsZty5kFto4lol4NKrLfOvUhvUs2ZBKHLw6JPs+JyHy/eSn+8pwK2Uy
HSZF7d663FcespldQV5lrK0cxfrnOSVy8H+PKj92MI1+o5qldk09RLkP/IRFBpDlHow10nQxRN/z
tnEObtEBvSGO68loR/OpqxXzKRbleM2XytqEVaisRmC3K2oL1BCBKl1NgVJ/gyKQr3Ucr2vMucP1
+12XhFejpnCcG322ouV5wYeviS9g+mpAgZDS55ANlgUTcTPgj7qw6aGscxc2bzZKY11ilqRcpMJy
Ihtp3Leco298EAQ7Wv60Xd7n8uRoqHwU02Ff4RCDiTno2m5yf00bI8BJhLdzwbkvuVGrONuBJ7Ge
XZ88J+kjrcMyxseQ2BAe/4RgOWmIa519tgQzuQaM0pEzvZi0uSyB5CEZh2sWhXGnw0S/setpAkAp
MCLR8R4fwSkJUFtTT7htOzYU3RI4FS7pAW1ixzdYxAhFMSh+mW1GDbGfiFCze+qKdTncVHbDpxsK
hdzaVUFpYpgyO1nh9fChSGggN/g2dTu3pk258M2GBpgEmrrM7by4b1GibVoWHPZANIQuNFOXJE2i
pK5bq0MVTQFn7AESVGhINsh9QabC+VXuG1XlhI2hmR2zaYDn76gCqkHDqykF8M7pXZvpdHBJq7Kj
CqHl6aNKqXWdlVSmDDfSXt/FEGZGg9vse/UVqx8FlCEqjIVizpohusbrCHUoXS70PnVi23urN8e1
I8caoyXIVVwnHUKZzLW6AQMYSp5FDh3moFq0Q0AspdSOfP7HvQnEmuhmKjuXrVTipc8/ehsb+NYx
IFe+Rz64uY1UY9qRXAOPHlzifEU3djjoS4of4bU2RTpRtlF2BzSC1FuHluVUhspWioLECEOM+o8x
Hx0Y1Hl1Z3QzujKJlAs6ZrdtOdoL/GrkDcfKm1PhhdHM/NloaYWlMGAuuYxklaoFK6cImnrjOHW/
LijDbH2fvhFQFnmB+KdGHlap9podYkijCla3DMdbnVrEEqRw9tPOlZ/U/G4G7DMbfeized9W7ZwQ
q549Rfd9EU7L2lECj9Vqy43olghSiUKmj08fzHlWclTvOGkKunOkLq+cHjJNYtBwUB1Jj12UGOLt
kuvNS2Gyq9Ih7TolLcIS5mQeBqSaB/nailKUnYXRtXhp4vBH0HbCS7AdgbFqYbFCVS/uSnTxE25j
BFGLTA8vwtgqb3NSuZ+VIMkXfNWz7yi5aMZ1NgoxDZnMKnXKZNd24wQn2022GHVbj+RgQWMwqMxb
06mn2ziw6rsSsO0aBYBN/2+os5U1WdZ6sIna8Gvw2Cl+8k1XJRzJ1TTaE1o4UmCX8PXqKbsAFWpQ
102FW6/6IjB6WkTtkCQXTf7K9l77Pli5c6W5rVSXtU6uQFfFeKn0ou1v/WksdnKkykykcbORDpII
PctgiyQkds3pyzzFFcFNr2ZoVv2yC6fxxtRkfMgF4bAtlojvVs3+ajFooX4NEkB+J+vQ3oNnzZ/8
0Z5Df/PWeFTnL6SlZSUlbyf0hjxvL8LIMa/CrJFPuTSEN8iq36ci6C4AdSc/pRkjNQg1Hm7RSv+2
s8vsV9bY6pJgBvOFZkpBJheRinsNJ9BlLSmnW/gFKHZ2uclZt8GONCrSfDByO1vT39eoY3ddeF0o
41vS2c6zXtg5Tf0Jel6QTnOQCbHZHWni7PEmWikhGPVFi692ZY01K1mcxh5EOQh+lq3yePna7kdO
FchIjQmDlgODsZxWTZTdKyl9qRzTXcAqv6Bw40C0pW+VaOVTbcQGsBfqunSN7YosPHbG28K1svsi
yYpLOaX6rq7p4LKfz9BHEO2VlE4LVq7plczjuGQpbyQBoxjpa7HTWst5JHV4RivS1OQU0y90JfIf
qIbKSz6K6S1bxfhl0IziIa6S6rlsYRBuS4UIrEXkV1FCPOFscsWYDqZckfnBhOOaL99rlEltQXFt
6z7ed3r7FvQOPTzKO5eD6+QXBjvbn3mJmZWEXrT1SnI9FR3Bho2hpFuJ5GhJV6i4TDrwZcgnS3lN
Fz+4jtkMLWIzjRsyO0SF4MdCn1bH+jfe/18S0tii5ZvmLlpCu+iWSojqRdPeJpgpVibmgsehbgw+
XJjptDzzD01pFK+GUv4w46b/gSrqboIUYm5s6q4rhZLrFiISK3upGGDaZmiYa5Nzij6sBs6YkiHh
wxOywlbdTF0HNI0Z7ylOYW5DTIsAA+EULKAc41XD1uthcQ9eKUHDO2IlXAhDIaczGOx7jjp8T1Ao
/phhzKsycJ/MAZ69Sj77lr+iI5qv5J0Zmb/s1KlvukKOuFp88k8SxC/ctzG+cgGYbbsafLBbOM6W
nFJoY4rLTTF8+8nuQvM+6khEiduIF7Z2SXnL2VONIUxIAaBKGqF+yxnkkQU5uRnKydpXSMxAXEpr
Xaa5/1K4ybRMKYyDzjPiawukBflkBGgsdCjM3oCtcRl0ff4tJ1yTHa5yyLJM7qQzZgc/UqxbG0IY
YamWfk2EhvFbCyDyF3FfrusWMoVPGsRNLobwMhWJuDNLpE0oGSdfab/HOfbEMGm2GcvtGvooKRJy
UA++31pe2qMqLmRSbMfOSO8kK+6iJd1j7bqduq3T9j5oMagPtmrtjaAYt7Kvf4RubnsxSQJL2hQD
+DNb8UBCd5ds5ex9byLaaIIqYf9b5L9bSfj0KpXlq4H493vjSABmwLTD5LVQ41i90MrWv3B6P15R
LemZbI1+3+rKMC5hGgv3Okqhjy6LvIJLbtRkZGyqfJg4moU17fWxTu/zzIXRJUZ3G0azmp8S1j0y
yLdhQGSo4mekH23Ue3Xqf9qCU4NI9YzME8EhqUJRMMGJ3mWRq5HpqXkKwpQ97794tjPrMUNRszT9
IvDYFaYryh0/Gz2ik4t3EpkD39ex7712sF5sjiADHD5Rqwf2UBaVM8pESutoP0037S/MQhhrqzIo
pCR5fRP4mte5iv87tAxxiy9YPzSD+7saTOUx4NV70HW7DleiKUgrQsLjrxpHm0Eyotiq7tCS1Eq+
E/Zf+ASIks8YFeZa6scqKAY+W1i4+VzN0Y99PBa5nMChndrrTep3nUIxLioL5mS15TyenVGaf6rs
Qi/HMKQh4ieQ2jo2udiDGNgn2bU3FkBlAa7A+M/sYZ0GZbr6usJ7aijsZqAuhC7w1R2p+NXGIgdh
0Liw0Anuh9jkkxF32pUqAYh+PdSxxQTGE842bHsY1l1GPKpXA8FXR/jctZfXeXuZpHKG6cdsOZm8
iyoYsm1BbMDfFskZVNcMzaAOJ/BvHA0KnhjjN9QWbwQtugANz1e6pmTHmdQ8c33HNp75+nihaWHY
2AVN6+hWJiz+U1kqtQe3kOyR1AehrlROvEt0KprQHarbctSoIKZTeNWmw3Bm/LlxcTxHdQNsFk7U
uUdz1NgYA7MM1SRoPCdTKMDnXKBV9Q9fP8T5Io4HMXQm5uxrw5Khf+xrDBqfC+nqtSclpVu7D9lF
BLbhX6e6OnnTqBP31LrDuoBTuvl66FPzB+KWwGpL80abu2B/tlRcYQ5aoBv1XCQZ0aAJCftyLgTb
ijpDcgN2YGMIHe7rYU+9+gYoMphiXC7u34/DGo1rFXbEsHYVp3sS5x4sFCdeYDFrXZv5+/Vwp15I
jMJ4a2CYgRo7usFBXakaeiCGa6S4r/Rqy+GfcFrfVs+sMp9MNfOEBfatm5zAWWjU4xs6Tf88S2tq
+5/N+9wc/fbXIJmbCuwr/BLoXSxnUl9CYHueJFTsf5i0YNks2zINPKifXhrbkBNegBpdfmAeBMCo
qzJgif37m8ojnNtXKo3PY3etiSelNTOWnvdVoAOVg7p4BB9mxuWZ53fqLTQRDjimQVUek+LH6ZIM
bd6NhF57PUmKK7RzPyyn+PH15Zwb42hRA4GoW3yoaw8RNVC5ems62TnH2/zwj1905h+B6UxFAT/v
43W4buz0tS5rr2TvehW0qr7XgXYsp66PnkOFFQaJkgouizYLAHd1h4Hv3Ir2+dUzMCXTQuH9cyld
HK1opiiRDxZu5QUa2ClJEvuy15IKKGmM8qd089Xf3lfGgyxIQIPAi3387lUcq5wR04+X5WRZmNZ4
ALlkn9lKfH7BDXrooI0o7c5JAEcvuBtoEmpSWnmRhG/UlCSj4Sm4tGN6GV9fzomRuAgCMQgGxtdk
H00Tt4miaRydwmNpQ7WkNBfA9+7LOn78epwTj0mzTV3FMDfvjt7DTv/odROglhhubRfeFKnrOn1R
nJRwknwWXO2/Hkn//I01Pgx19I2lRmXNzg2sQp1L4T43oQT39r9Za1iyunx6GAX7MVCRfr2qTOms
VCAt3y2OrGs5AbmN6f5u9YYyWkaSDrgtE8GXcOJyLw2YjkEfTld+yjmQlD8DsSjdIs5Vcp3q0P/2
dpcO133RUsEe8e0uKbMR8G5F05kLneNpj14/vuD09VReAA3vytHrl6aTYrh5yz1tQvnkgr6+1jrn
G9Et0Us2tfa+TcmUQVD1vcbrvrEBAdKzJlAVX1Ak6MxqVZkgJn7ISL9bSgvibJFBtXWuJp/CUlYk
1bpBJL6oItDVfh0b6DD7Ao1Wp9t7JVba5WAWpkdvu19JiUePceIVJTz7MjHRMsSkv4HLIm3aDfrl
ZAfDChAf6YNOoBOZ7U6N+mrPwq6vZ8CJuabj50fBwTeLLf+8SfhjrvlZV7H7GLkvsdJcdppr7Hjq
gxeQ80M6qG/03tcDft7wGAYWZVPg4IHgcbzhwZPQdWTnkdjqSBMHb5GtKxiBl+Shya3vkIkYUnq9
N3EtXnw98onXl92cahFehWbl05mjBhqshK2V4x4cx+cOWNuPin7PPUb1+O3roU5cJAIPViNqHfzn
eOtIX5Tz5tjmXtbVdEUwdJBYW8KKxmpS76wmIeGhocEOBkinaP/14Ceuk32VQTrOO8rq2HpOSB1s
hCLPvYbYw23V5/fB7PV24rH+622AOS9SGgZejlefEoKoATUBxtHUw3L0NI55v9KdoeUtMoy/nqZs
NxBMIYzi9PHJL17OGZlB16boCloSLCwKr0Z80/fC2lB4+vW3N9BUDS5M10wIDFBpP74TQZSWuZlW
XJbIDA87b17QQ6Sn06QzrPnrwT6/gAzG1oatgaChffz5qtCGhFabcWWKeR8ayhP2tF/xYNwjCDyz
B5nf5Y9bEIbiWGpxaXxe3t3Yf7zrmRFGhPghxMCWuDaolbqFgD6ZdhPpYrh5Uv3cbvT0iPB/kLHN
L93x58UsbeIFGLHSun3ili/FqN0bc5YpEVnpImz1y6/v5ue5b6psvGd0GlALur0fH52AtoL71k48
pW33JM14ppncRJZ6ZpjPG8Z5GI6GxgyY0I8LCp2jDhHk+cTrFH02hOfmrhz4In59MZ9XEUbRQBGz
MqtEmx99s3DIDESmaIlXG1S0qPSgKW1/27l1iCtJQx1iMWjeM6vkDMH7NEvmhQN9O3GMn3gHfjbh
AAgpJrgCH3ufupTh8jJBZu7SpZ9ymtjNCHptgWEOeiTpbSVtL9XeyqEKdil95E3PtmgaRfUNIS50
gbJkczBvC4j/ExfI4qwHVwfygCNQnPn1Jx8M4A9mHExp8/jBIEkIUzobEO57WrLx6MZ7ZaDO+fWD
OTnLZj6fq7k68sejBSIzKz4jQZF6ubSJJyk6T020e8eW53Ytpx4FKExUlYAnOMMezWY7NfKyylmI
htJAyOKHu8FSh83XV3NqBYJXSBkO0CDFjvme/rEsTGCLhqBVEsRDOFo6m88UBkA09U36il7/73fR
nBmRifLJmBlJxydUvO9Wh+Aq4ezo/5rvXR1Zh6z2n76+qlMvDzBGy0aSy8HgmDAyNGTFTwUvTxoJ
5zYZNVpsvvhFs6XY1IFwfvYphB2qhc2ZT9WpNe8dAEnh6MShh9KpGhpml3hBoN/IXMFBEWzK+LGM
pztexDOjnZrwHHvIKjM5WX4qkgFDQEKKddkrAzKKM0vYh17Hlfn1zfzEa4F/pHITbZ3PkYHM+Whd
dVt9aAUld89pe/UxCtVio6A4Xvix0aX05uz+IdacYtkWsrupxjy5FuSIbUNyJNYTJjYay3G50io8
5vgz0GO0bXzudKudvPM2J2zeTFhmxxufmuhX0WcZX5vBpE0gqxdNzsG1htMQgOE8tQPVCbsMaWLk
RvSY9F2z893iR4iiY7Jm92WfmTuqSC7BuAoRjCHX8fWNPPGu0dNmC2oTCzfvDz++a6nNb4gGttt9
Pv0qJ01uVFJHCj9FvzK+fD3WiduhvWuMxVyoZdf9cSwd+oQK85Gtva/9Uik4rDKhvoB1zz0bdjkm
LUue2WGceOnA5WrYTjltcZFH06SrU2J0goLLi8UzkWfQOFDt0Meop4WBO/OhqvtqhRqj8/7+WmGU
uXNFig3i8UppgsqMaqcpPM5q13j8wM/X6YFqfICzNXgknS74+30bA85lAJ3wQZayo7tr0W1szKrw
FDWolkDYUSXkhjz0QA+8zOIg/fUVnvjmMB57qDksgc3i0a0ltcsMI3LqvaEL6FyYdb9Sq6JaGShi
/5ehXNzvDoGG1PmPPgglZGuZkSvlaW6R34q0wq1pS+siajXtzPJ1ao4avFCzD2Gu9B/N0Q5JXD5R
GfCarL2H6vEmBGGmDc8vCqqDg6n9rw9HLGCYLnRAZLRPjl9AbaDXpjdT7k36hMbP7r/VZGmX1AHO
DHRiYaakDofMoPKMjWN+nn98VcsJt57qcwRMA/EUDMPWmar7M1PC4G8cbeg/jHE0J8iUTWLTZAwE
/dqCqJZyD6JGfNNbC4hM2jfcRRVrVF+X0Mbi4KHoaxuxEL3a1qkTin8tasg8otNrDijgDE0D2IAb
OjJkvZ9MMzzoxC8RroNDyy/VfJs1iLM43Y5LZLD+LhQOTQp1wKyozTQj8iG1b5ObIbbKNXgaRdaQ
rtZB9X0Hjt3E6Rz5Xczm8CSqb0KSE7dQgcddimH0ujPC7Kojvt1zEvc+KpJmyR1ONhm1IrI3EAp6
iBOh6PZTSeRdKBALJ/0lceERlCPS3L++vafmpqnZtsY8MWZK6ccnCPqkkqPF3EQm/FIN8sUJyxvT
UDZGVmCq7Yv/4bVjz81mj/I9DaGj8UQ45qRCjLknq3CuOV2DF9/1Mj+zef1c8puJpzS2qGVSpnOP
hgE4EsKDdnMPEfmhLKMazaDzs0oeaEJfIUhZtkL/EdT5mSOTcXpcqrTcUQ7XxxsytwSDVfaCmkgx
Ts/hALXZqU3lgNGFUEQ0M5xxKpHBI0i6apXmiASBWrCQV3q3E6j8RdwrO0NtCbeTZr70EYYy4cot
/U462G78KrSOg/qAFBAkTbAiiJscl86eVoHm35EQ2SydSVQLnI8mQUwT9ryY3wP6oXzD86Hdxs4c
qzBgwcPRxf89m8QybGS8tmEXPFaGOPcoTq3pFgBaKLeUGYwZOv7nGhGpjcjypMs9AGIj3aXF2Kvb
RJPdmZl1ai36Y5zjjVFXdllagL3yHJGqy5x6wzILw/XXr8u82BwvRha0PvoK9Nugkn68GLXSy6IC
2+TRdCKvbbYsqvpTkYRo6pvxjOns5GDUKzmzgF3/tO21ahajPOVdUUIr4yQ6baH9bFCAoqWW0Znb
d2ohsCj787XAsvdp85uOo2HFqKi8Oq4PANEA/fvjU5HWbzJCsxBaZ+6kdmpezD1vDrBICOzjPs3U
lCn3l31aPKTQRCZdI8mr7nc6tfhVYSihZ5YVju/SNb5Fqh96Y4CpIQDKe+UETrJxC3N8sLEEYc/w
A5BVXz/pkz+PBZEyEvVb93hhJC6nUQjTy7y+Kt8MN3gM9e4uNdCR/A/j2A4nRY6/s2Xu44xqCEoP
S/R4HifRkmqOfMlHpV8VbX3mQ3pq2zqjbSmxzP9lH72HRu/i4EB76Uk8I2GDxLXPD3Uh9rGj3YDR
v89S90yh4tQE/mPI4w1rPJkEOQs185R+2AZt8eaaKeJ2a18X52LMjVPzdwZxU4sGt00t6eN9lL1D
3sxgZywz+vhDhuVvmIDWEhSOs6R8GyxnPsAyY0VeR9XsNVC0WZlZI/oDbfQE7j188qs5lVHHsYCr
DZ9RKOu7YHLB/+aEGkFmdzaD3TuPjmDVBGjVIJhSmmE1JXNps9B/q72OnQUewlCqP+KivUaKU64l
W77I6XqyKY1oTaKNflciuuZjr4szs+nUXXBnpy4lDubtcQM2TcumyfEneFNJ4LWctIVUzSfM4xfU
TJ9kNPZnBjz1iGdnFkIZm2Lr8W0vYy0YKzZDXlTBHOjKti4373QCIwCus2hmTfrXL8y7duJoDUYx
o3OBvC4cM4+edEAKFl3SNPOsbHKXYd9ad2aodcvcGMVFWKTpIzw0OAQmysl3u4ATgmLI2gk4FZK+
rdKD1jtzG07cdzYbswUaODzHiaODkmuNDhwUI/VAR5rrsB6tqzxk2zjGRfMUA4/20EW+nrkRJ4qY
qBKo+syrtv3p7BsMYiqJg2LpmHykrEZgbhCkGpvGr5stzGVjwUxBOSnAIAZ1SApQk+C8MM+hiI0T
a+XsC0eOATObRpv+8d0jvTWwMhll+JZjMCrvvobIAH2BtjoXF9wZeydj1MhYrKCUpRSRNYUYHsIg
w+62N3p1M44+uIl3vryc1Ge2xfk27JlSOKaSDaI+sUWS/0YUw4Ilu1ubVhyu0Qqbq1rJpRdalU2m
b2uvnOBCLxLjLjHy4YbXFhMacUTTU+i07j5V7e8qULAzB/NT108HDA+6PXfojwtHlNvitJEG158m
wx2YUrSo1hA9RYRnbr5+6KeGQniN1gA3Op+Now0ITSd45PNnCQhpuCorZ3bzDWWyd8M0ePp6rPfn
dvymzdVfg9Mrn8Hj43+uWGnbZxGHgw4Yz0LSMMbsNZna1i+LDsZqql1oherfykHvr3VdCQ66VOCW
kLe7LXNwLu8/6P/xDWfwDcjyHFac/6IETuAbwHe95L/+JDj88y/9Q3CwxZxFMTeGVY6TFAdYyP9D
cHD/xe4D3RGtubnOz5T7h+BguP+iw8vMds156/4nwcGw/8VeguMVxVbT5mto/A3B4fgrQs6FRZmc
0AsSN6nPH83qXMWQn4UJ4INAExMEczO/pJ87PmTagEUqEOcwCPMf/HNmM6ANi5kvFr/8c0UZ7GMo
lckavWFgu6sqHd4+q4+2fzyE23//vT+TIP6PvfPashNJ1+2rnBegBt7cwvJrpVEq/Q0j5fAQgQ14
+jPJ6n12K1VbGn2u9+ib7uqSWEAQ8btvfh+zQa7CQP46u+qwNf5yOPZ06kbppOow96idJlPJT0XT
YgXh2WKra1MZGh0lLkz2tLtu8tTD7y+PB8Qvt0mZ0kSFaPsm7/hjGgwyGtrN7PWHpnRLBf8Uv/TS
S5FCMyhxwdi4PSmm9Ls9OggopgJI5gqhzIiUOrqsn+F4GknYQNsjacbrKEwMJEn+MhW72Sz4d1F/
VbhGl9oyhkogDkZJ3MG4YeR+/kFlobizch+QK3KkQ2qjgY49V0LcdOQzauJ5v9Kfs1AkxkzFQ7K3
hRRcl4MulXHPTJ64biEY3oM6QFFpwYqY8PV+8yus59F5jPOPtOOORtzuHsuhnvddrupLbIAsQJmH
o9TUmDWOjTrl72wWL5iN8AcnlQWXDlzPlog8vgtGoMSbsRN6c+RR1VWU4OlhRDGbr7U3YW8D4/E6
2BXI0+7nZgaOo5r0xkGZQVkmYMgMFRn6Gi9rPzXliPvpuIo08t6Dh+cyGbRYKqMQUU0bfDnaUzGY
8hO4rfjESI7au9Ioj5Ixo61h9eNjDkfvUeaL+5m3g8cd+eW2NuH1Dq6SX2e8BqPEI9rJpnp+YHC1
eRn0hTcj2W8P7orX8Ca4RFZfBxfXwE9JynT+MaGPe9Bb/sist92Ti0DjEqvEPqLZM+4HGKNPeT/V
F9U0waWqCGY2+DJhVWlXqHdCd1h0RpBLse1EjL1nPZpbiKjFnXBT1C5QrsEgNO1XO+Z/JgUDglEC
FyE5wA5FbGIPEltUPmdf6+e9mw3lEUtHcT17YtrgngfgrbMY8N7q2MEfBaJUKhfwfz3Yo3vNiIu7
hBE+WKupvMY0wwFpnIzfC30GKo7QltqZrrNpGM1rpuT4SLtjuQrkyF+Fi/deVJxdhuKOg0kT13Gx
fuyadG60RB8Z6eReXDsPwj5Iq2hETlSFY1qP3zE3mPcYU9k3ic2biBkeC+1azJsK+l8Fn2jguRbQ
w7wycCKF9gLWroIAhrQqju9cPZZfaT4vV/WUzg8mB+keMC4ixFYWO1Cq/Tc9d437DB7SBqccUHMa
z7ZLeI+4dPGo1yVa1iDp5pa7X9A54Ty78CZsFw2JbbD+W8ZTXsrEi09lV7xMWjfAgW+rm8T/ATcR
elamVW5KglyZ2FU5r8AG5LOJaOUxMVmbSK6KbG+iitzYdvlqx94I+tUTWCk4LMqVaKVSXhSC6n4X
S1vcCPjON0E/OTfDHBv3ddaJl8Fxm1dEa6xWD3l8a8bNq4WS5JzDY/is/JXfrOVgs/x6at4SyFKM
+VmzhiID/8/3m/NTPgJ8RrU7NYsa2/gsX66o0nZPgjT8bm56A6Q1KQXIXgOVeZlXkTvp2aFvTA8d
cqyyPSppvB1KV+c1VcXgrQxy+WxkCH0hBnjoRkxLXvcuwm7zieIrVuIvY1NP/desHeyXDEVWkRxG
a6ltxiwXrd4yaDcNV7OcYuc0JdZg36HJRp1rq/nBAAoQNe6Q4ozrKMYG5eLuWIcOxEuK8sCjVc/W
NNTXQwPmGWVgcLK14rbXO+0TDo13mjNc25WodmjHnE8LzLvQ8UD3tk4CAji+hncJNZwa3yExl/RY
mcVDR+NyO6wM68Gev2Q+QHl7HL4VqVkd8cT9isNEekwX+kG1MYhLU43TtnRGBRk36b8Z6E23Sdad
VS/jHdPGBmr9ItgYcwsXxXMwlEfTeW0v8NNB4o5z1CIjdnP/pBVCbrJS1ksoglgembthSllT4Ewx
KQ6rrKAmWZXlj0QsoMepIYJe7uw5wtjsbq69bGtWWnDOoXdcUaKfUKzxwSL5Ns7ZzJz6EPgJfim8
SNMY9aMOgflQeQiLRW/5+I9qZgQ9ls8S+9x9qjOoaGqVfp6cLDgMifHZquJgR3Gluxh1YJVbk2f/
tRPT5EYOaSmTiwvvkMSjHw9IeTHSMCZ4+zE4zQ7Qam3qAzOcgUGVNMCtzYlduZnj7qvVTMM+cRLO
PA5wf4eSdAxTbPW2ee3KO9qzBpLWotsxtZUqmnAa2Dhfvfo4soSTVahzrVZpUVkUL6iUGi9ylTvv
Yb2DCaWj7W+wsGC6ZLQtIkSLXpBhQp0dHMs7Umc09c3MJgIMoRBmFwq+qyu77MQZLD7cC1M3j8xM
4FWbpnxV3RYungxrCi4hMGDnJNxWPSyTlUftyi6gCXWYyo01ag0cX3d5E6XuUG2rlnuRiwY5fhcc
1OIEx2qI59ussJbNGA/yVFTCjlyzRO3lFmNYTkmx7WzL/uR1lJibeJ06SFqU0Lrwd1Ib6bGsjgMT
DsEbO7DyZ8/FoNzX52lnxzOqzGDUdhKKCYOy1afS0DjLgUMds8xSVsjk5CbRkuARyo6xLzNWvGs1
6dEfVbwNpti+aqj8wb6etDu8IvxrQy7zafX4KjE5COCcSLetvtuJvEZ+4F0Cxdx7ZE8TxN6SuTGG
dNLiSnSLcRR0W2SUpW57LpfYehlyb7ZDz5kYzzVx2zunM1D2KDdy/btASVhusD511UbP9fG4SBlE
otLa/YDX48tUDhl+B0WWX2ysq79WVu7iINDZIx04A2tn5wUtoI5iqsCbWG9qplA0VRc7L3XGL01u
NFFfTmtcIOQnJHflhmH9utnC58jOmlrndlEm5x7Lr0qPzM+3l0B2jc2ELYXDcGqcDIGyH3dRnjXO
zWzG2WFJa/HFFKANQcTPxfpu4PatIVKeW5xDq8lE7nT1JTDxQvBr0X/zYcALeiWk0Du96DhwmP6d
f5BHQ4uctfhO0HXgG8A94+LFuog3ibPSAtOsgrEtnJsF/MSdhoszt5tZ6W4osgKJMZ2gqCLISze2
q8QXJQa6WynDFoj+OZ0Zi5anv4MvmZnGPWLx7psA4OVvTCfl/oxqrSapeTa3hKHuZ1VIwrI1YARs
MdrFJk/N8kjhvr6UkB8Ott5hJdJMbMZtjhN9JaBeb1Kn43APqka7q5NgeMxMK7lJKiKN2nHFdbK8
/4pAPlvaijXBxHzdlPGl+NHDDsMTwSM8CaQ0btkG62+WcMmCNeyIOLWxaHETNqKwavk5K3Ninxra
8JhmMCkxo9b8GkRyO++Typ3POo6f23QYp02y6kEbgq0X5kyrqJvX8Bf10IvXqxIcCbdAYYfBq0rN
PxAaZHu8jhtcTbIAXu0E0WZ2Yh2vA2GViMYC+YdpB+OfcojV34l8ib78L3NgrQm9O0m0/pBopjzF
lHDXcNirI5nLFiLPGt5b0t+MvJjXbm4RjU81D3vonT8lNMbHGvZaJF9/CX4b8Eh/UQMOjYWlOnOB
Bzsj8o+QIDk3ntub26SHPTPbBIRpwJPtE13deglj13nnABrom9ckrlmYtSVPnTXO53oS8nkYbPsG
KpR6mIi4/1Cp+aVOuf7YVYtFz5/prF9UhFRvCm/UrO6gZasLRQdEdxZ8aLqRpzfawKrjKGKBGSMr
HlgQqgPOqdUIoXnLBXGzB4znD45d7/XYnxNfi76oTX+HXg++iB8KlQmyYYyx0ftVlQUMnpmFVRM7
yMsyaeO+bYd0w9a8bGcKTZgmDERQuSB59dL1M2Xi6y6fbHlCUgFCMHaabyIrvU++myB27gGxxVrb
YGnaO3+azqKW+ksyi7jGX+deoRytzeOfq4zOoDHSOyOSUoi/o9nLRL6VFa68De4jPEsms4PU8n5g
ojUegGYlO80w3xBpPMHmsWg2Ey5pzpRsBibzr8bWtF9GAVgjW6zirOuV9Woy66mQkol6PMOw8CEo
G8VGt4HmZvCH9xVbySEJgK3pRopoXFXEq2UVXAggoU8raz4zvzLhbMn8drPuMCbwursxad3PGsBT
vJISHUFpbdtaaHXssShCiXunBjfFgQ0MQC4xO8kyeUlS8C9hbMsKaeFRoXFfY3VVL/JTzdw2ewoy
+40Nn+s5AK8c2npGIRyU89ZUMY7HjNhc8gEq9oh7ErL4dHxM8GZDZeGY5WtrYf106svFGy8ynhIe
Uoavh6a6Xm2dpEj1aBBWXMJvsPIBZAlgPw3/cG6oNh+bGGBbJy1QIZ67lMmxIKTZxMv6D2IC+nij
dzRrojhj4HNkLs43z3Q4O+gBlhKcxsT0rZ7mNZYTKXec1EGzVWzCMNAUobynwF9pM0E+6bSOqpFE
pPPt7kkHPRLBmHCizsG7J6oCCMmqJXHzU1t8mfOh2LVZn+2HkehKLyZWJADqfpPW7vDYZ+Wr15I/
4kskXvyptLJNO692KeuzC1aUwWlZePgcOtodXAfraHBwfCqsMdvHzHPWke/05bHHLONNYR70Zs8G
saFZmmbIZ1vsrN5vb8lE/cssdeAtE0m/W9bdU4250ZOCZnHUFbtRv+Z2dRqUUYpNyhTZS6mAxJfT
sDOWpDpCYiJrqT0rJHbyPlVWOzzqBo5UIJWbN6drwVXbZFjCIHvetPXCCdA3Rvdk5hSUpCzFNbR1
UAyxzW7Sx7W/sfyezCi2bQT1jbPwjXQ4VBhAUPg/e32RX5ta8VSqBQ8ossPQyezlQB9dnqSQVOVM
GmqhCtYjNK3YLp3ZowBUmfKZUWj/YkyUWYAFBpcET/hTNnv1xcUVek/Pcd7XuulEjV+Pj7RCSe+n
Odv7awWITqW4rgrqQ15GmkxTcvnh85Uu28xfxEvhVrej8sQX8PGk27qTYDBrg7OZ0tWKnr+01tbA
ef3Vyl6teHwGyNqooe93ma0J49D1U1Xr/q4XxbTBfEK8OlKBHG2rHJwHPbvtMGZURtbkNVM6CXyq
bPlJr1veTJMTiryfxaJOahTaiTmfC6bK8PBoJ+o6FogKCqvcXenN5yUB8KZGqmvvyxCVPIFEUkMf
VIM2X9kJFQ+rm+Wn94pPbbF80KKVkQtFCnsnsmDAURn20wRUJX3OyxC7DGis5QEt0XgMjGVjSY4r
WvheyFsyKHqFoCA0pemP1seqaOFzqyM1JwQj04rv9BOqV7pQxZ0UjEDBli+CFbfoMMkKLk0OEKZg
W/GKk0kvcfXijujbmxRxFj5BhioowcXYxFHa0fGMGvBxCHKWICA7Y9rW8CIjlPggKAsQegQ8ekvh
i6YqPR8qggC85PNi2RTKnH6SX0EF4Kym9/NDDfomjM22PGprcQVFG9saGT1g+7VSszochD6hBnYz
S8bfVJkUe+TCFmcZXP69fvN+SKqC2m3dpDa+VNp3XV/WcNnTeH1lRbAkOwas/l6aOKLshE1pqG6M
+E43yvoiGrPYIFHxL37fyefGoIaGewE1NcZ368uEpORmtMm0gIP3bO6a2X1Ds9a8qoRgp9VlcJk8
9tlmSnmEqYPDpA5HFKxHMRjo5SpKOS7heQ8i/bKuZ9mu2zDCpQ7bw5KKZJB5xLxFyx/nEJ3PGeM0
9+la9SYuWU8BErRXw2dJ2MvQfRskHPXUiJMbD//AndGu6wd4ETQi6pCly+3Ea/XrPbz1Ayqk0J6K
u2oaqSLhKrVxGQe7fz8bjJ4S8OAn6Y3Hlk/diSLqqDn2jZdoDkfFFPgXGRCGyLkw76cWXHhQwTl0
cYvECZ0Xn7q5cS9c+GTZwItEgo+FUKnXFziz9cUxCWKr9R2khIcvHUOPYtcuDcH5ZLCbYfvzOE+E
yaKgPqc3pXmPEyObLfvYM3Q68YKEBso+DcbovSQ49hQtfRBvpwTzeWDzhJ8du4mISHOK3epbuZON
IjjpSXYqPmy4MhZV0Kbko5j1sXktTY0C9UTN2MpiUoWewNkCerAxKS5vOexZPO/brPJ4GlSOsOnD
Qf6JrH7G+sms1nwCx8KTai1121K0eRAeUbu2TJQsxm7kYepsb+nId1TgKPSku6Mgx7NYa5oe36mJ
eplZqio71rYjT5MoKSKuWyWCLXPbFlZxA8kX+K+bOVS94HtaMuB8SCmZ8E22VKcRZawmRQZKI+kN
373Veq7np2OQVvDhZgFJCPB/8QVcHCGH7JbymNd8ZJnI0hsgn6/j6PDU8Ce1jqaf8qmMBc+gL3Wy
oXGSz0QluR0OClZ/CC0oIG4ZnOwaWwA22QlPkMemiYkg53HejAMvfPbRzxQmJfX3//n+Yc5VzhGj
Ydn11Zk4UwWHyrFeenULmXbeVWme4U7S8EFnRJWJ57DJ0GtMbhBVMWKxONlyJdyFjGzyZiDRxY/B
XhoXoxQS2PdCsYcTlA3l9m5ao4BZSVIyPOaGPYUE7njCbzOHLePbL9i+pEB7CGZ7CirbwYGWHxZY
6pz6uP/XnOP/tir/1KpkIIFm2//cqrxuoJr9n80blk9vP7Ur//6D/2pXBu5fDqP5Opog8hWm3Wmt
/atdibSAViZmSUQM5FDvncz/Is4HfyF9dtdZOR3pH93M/ybOOxDsAan9Pxa98Z/0K23v59YeUw7I
4uj0M7eGcI1p6w8jD8QwonOVZ14WBKrJgj1GMve4LphsOnN3RTU82IrKA/o4+g6ON5AflhcN/jA1
zsw4dKPQLnEHAXqWWCAxQ4N5Q7N0V01SH1KC85MvJ29jU488N0OtfcaEToBvSrRzT2Nr9ZZ0P4++
UA/U1fs6HJpc2xtCUobtchm5HXUB/j5jZ0qZ1ViDxBYoMcTX/G4KlU5ygNN85VpVe6Lvj8WkjD8B
2bxRXbOh60uLoRLGQcIng3LvF5FXuifDjjfxQME4TeS3wTGmzZCLLkL9S4XRqueruE2S7dTrGzXq
X1PNzUJZdiA0kfftZn1Z9g5Wc5AWzT0ApvqJnSOnn1RQNithHqr2BoanvQVN2L8BkbDoVFZ+JBwB
56NyuX61WtzN0t70tR8c5m7I7jxMhjaVQSFLkNfS75uJeYQYkd3lN+0c6JHsoENXsLPDgZEisiRE
Zind8E2SaU44rdj2scFwssi8q9QI4tCwqruAZh2WYd4+qIaDsDGTwXIIz7CAyNImI9mYsQ45PTci
BpofnZ5a+divNyGKftMP5NTlPCRR62jutvSHL1UXbCylqpMguDuLNsPb0IR3s3g7DSHuzlnAUJGQ
aSEj0R4Twu4hiINTPzd65BemwMsm1h6ZHmtCZoOdbdcIwqVBqR0naBBScwV72qT5vZcz99WRc208
jxHfThnOzuy0edMp3Ybm5yBS8pO9GoBKSsu1t/hevQol7DMFquNcxxW5jyU3A31pMMbJPrUGbyXg
Maxcatsil/dN5z76arnk5uRBj8amS6tBOBj6ku49Ub0tTv5Kicbe5xTYoXFOK64w107SDL7bi0aP
bMTphDWBBEKF7sSS8NsEaVAOmzEpZrxtafO8G+n5xhIBHNYpsjtHaebG62wvRlS09DC04ssy24qh
H19s8yyfD05N/WxBuxlqJWshw/h34yXCPqQLVEU7nVWkl/yzwmif4YxXeH4CBGOKj9yymeXe8HmD
jRXYOzeHQxRb+UNruskVWL9qZ/lfkqDTT4jMZeQIfBOZo6qglbqpjflllt1VI7XiunPhNhdr1zEL
2nu9pjLBzFhxtzDLs+m65arr23Ln58W0NWFu09Ubqg30Im9bAyoildT02wwzs63OUOHW6GgPUCky
N2lv5SGWTe7RMEFsZolPK8NMSEVH89yBBN5oZioeaB3wFKGqkKjntBuSYNogF5Oh7oAM6Zxcf5hj
m6qoRnYOFmHZMSnpRcHApGC7FPXnQrPm21gM+snou8kJA9dNER4wCrt1hU+3tq9csP11sbVm4i1+
6nDxKKvxL2qXGuL2vinca80uvmQj/Ii89svjKL0kHPwRXzt6U1di6ZyDl5Z5SF3sh4pTxiWpX5/w
WTXD3O0/6352BIjjMg/sZaHdOnf4dsrtpFuEkYGS4TKtHHdbYVQqg69DX95lwNdjY7hlCmD1H8uw
kci07+hx5x314HPbe5ds4t8nmdhPLj282q7rHUEuJYS2E3R7xi5M4aJA98neZJNgveovn7vGVAfs
mGgdFJ4WTv7QRwwHzHDjGpO0W7KkYKFezaa3GyrzLaAkQgKKodhYdTh5muBaKy/YDjQ7gdXkGBXK
7yNG67Bi5/jagaCx10vDOGF1Vuzy0hy3MDk6+jeF2ExB5R9SS78hKn513e6CUUJ+7Bz16E+dhxW1
20clU9vHgZT1HtTgU4kF6kYI77ubTsRzcdZHU1Lem8Zw9uy+vRY+loBAtkKnacorpihDZrRuyzSm
DmOlfkTB+wclQH1D+Ijz6zI0e5Q3FHZw2NpKeHyXFVK0txXO5Pi4B4cyZwDeSl8DBv3uKb8yZ1Ib
5wUzvB1VOOyW/XLcKJ8r1styL0c7u4WtfckNDiGlxWDN6LrhcZaUu3aAz6xXzmdR0CVwCdPOs+yO
oK2ICEdLC5N+MMMy5XhJsbp7YdLuGcOM4eDN3rdmgPZJkky/wewnimRK25GsO5FXjcFNX463ekIx
RILP4odPVwJHgah3TMFQ7x0+Xs0WHMsOhwUmf10SGCPVnoYAxrLU1DcLDDV74TDQg1pa9ho8A+c4
dgEWquyUjvbEMDG73OSTVwwtfUq/NK09ZUVnl3gTmOBSWIBRhLFPvPxpGjPnuGj+/dx3566QbSi0
5IelAYUt6zLeabj4hrZwjZ3TeP7WwAbk5Iu1wg+eNlzYVXet2zYb+jKLVX8p3a7uHxCzxR1ASKxF
EL2oScvwBabP6zfTY8+QjcenCEszL8kESnwqbiAdB5MIvdQs1o+sySkhWgdpNnA8kI+6ZvxgDRMG
VTiQz23nJ1sgiuzeyFcW7CZwa6NndMcchOe2L1DJ66U+0ZXqvCDKGS7xYG3nZaalJCSiXdr27zr2
/4bXfwqvDWOlEf7P4fVV9hXJ6Vv9U2j99x/6V2jtm38xixaQG8L9ZHzPJXT9V2gd6H/ZjDYFYGvW
2Nt2iXr/K7T2/0KSySwZ3sQoX4nL/zu0Nv7CU4LQmjiYlgzv9j8JrT8KnHGKgru4BtfMnNpIM9dZ
wX/TFEqF5zxxo3GuqdP0GB4nVaYOrbOWYFO9RgnTpDPE4bwwtOkhU2ApqM2ngppTIJw3jD1q06Bx
jmgbM5jcXSDCQDqx83Nirv72dO7Yz4mnGXv7tyf9D+N+6y/7t94KPr78YPB4tCYYz6Xv8/Mv97sB
f3EW+5kIUd0Zaa1FzkTNZx49nbx5jsvw9xe0/DXN+PmSwGmAW0Hh9F3e5ofBSYJH7BGGJjm7bnDB
zQ/uejmiq90jmUwkM1tSkwej1WnHThJbvWiwR88+BO4wxjsngVR9jD3G/cJlBKmDXUc8LHuzxzDB
rzNGZpoaj0aU/gRrptEvezuumzOAV1A/CVaHY2gUceuGspXVEjlg7CjBTDXPWnNHdYcdOQ1cY3He
cJRoOjyJfS4VpPGYbFsvzqvN5IDahIWldT5JS9vJqOq7YdghvpmvZpeBu5apOHDMVum8tRYjVDMy
aDhDPV4Jrd8UGDgk2UzakQVTsjXWX66ndsk8TpqY9wbVV7zsvY57g9MsXzSiwNvEZX8MlZn5CgMg
U7yY4wRY2MXcNL1RacUvCmbHOs6LkaqHlglOtHdSo0tn5qnRMV+OXvoaVaanYaE+u+LZpNaVnvq2
Y/0leHJGmgkj925pa+pZVmmqJ+EbSnu1zJ4nl3XQtzjjG9UcW8E0YzTCdltgOdOwCkuxxhtiwMNq
i6sJ84hqkfRINDi/6dpb6NywwcuBVjojJtkKTXPe8imJH4fZDR7HARNqCndYNW8k0Al0cPzVeid5
SNls8xZcu++755QhPnGwF5wwtzxHa4icbDUizLSSMpByaOZ9npeG1zqu3LszOpgyPS3rK/HWhxNA
4Ob9AbA+B1KbDeaDes2D9DdOV2mCmYDm68zEAKjD/5sGtk9XIjMAbuD5S5GS6StI7ejLvU0zmuWW
0bNkU+J8vo5eqPmepm5/reEp7UVVjqUCpaCB2bG8d67mOXEftdEzrqdRlLf4ZCRv5kT5s9FK248y
s/be6qQYn4SFhTL9FJZsOtEQHqex96M0B58QVfgwYZ+tXId2Fy65jxpS2P6TmWH5vHFGj2UDyprH
O2WV297gg+wgrHASrUYINEjLgLNv++libXJWJCbileLdZRbJ4o85nwfxwn+t8h8oLdVdVunUd13E
CFGTsEY6yotDlDaBcc8YLa+nLPC8D7V44t3SsyorJukawblq8nFht8lHWYhminedronuuYsddUeJ
gg9B4/RWh8xEQrYvKNOdHYbFRBirrj0kY05LKo9NdQt3Uh6GdJnVxcIyKqE4MHAVzHbzBWRIpwVb
JqF5Ljjt0TYYcAE5Y0ZptvfFsmjaI65ki7z0Zqu1t7NiDGdH5Mn2u1TTHDxktl4Vd/GY05tlIkZG
8WhZxwU/0jFc5opn2TKmmeHeOlFVD4KEByEYhjjEpc9Yss2ugtmCZJI6el/IhdJ4cZjV8B274/pR
9C112VBNdCTZzBvzPhs0hkx9w0/dZ0WKbd7kMbVzeh1G0Xz1rMm4Tl0/J7dcXWlDrUhyIvk4afPX
1mjpd4ZYg/TfrNjvi6eWHcLA2yxenPamqera9UOVaHGw9UpShK1ZICALaUznp056vPO+bI3rHFdv
9eQPsSy+O15tmjK0Z5lgbqKPpnlTcf4skqIpLctjXJsY70LRcXX9mJrW0oYQxzAX0xCvM7W6UD4n
p7uu0Zg8O+MQr8Yrnz0oCFNkVM3wwNwx6XffpbhjUnSxhiQ9WmUQM1IMLT2sMuRlhmXMGOR5lXPA
YMtdReO51LKnJLWHbmcLx63JIcUc12wyzVEIX3/sMJ6PrEp/1eoRF9Ka2ncxk0Nl6aT8Ay4FyZey
i73vKoFOjFtnTTTtXoaplfO2KFv1Cc5t8upYY72tOKQ2DDZZdxgv16+GTdps1noSg0+qiO17r70N
EqxhPFHgWYK1WnmViaR8MHPSmUDv+t2i9UBkR4UaHy8V3CUmcTOWS3VxmHPcDjTKPrGti9c8GNLP
o13eTp6u8n0rYebLGbS5njf1fsRo+3PSueUDqJMu2bV9zYwTBxgO93LB5jsodozMZ+Eop3rtoxEA
Z6PV3HPoiOfaqUS6yZeu3vmZ3jylCAPWohDNT3i4Qx258E2uhcusWpKNFc4eXvcjazHSLRknOZgr
CQczOfMamxHP3lBrqjFnmAkHNl1rjmfZVc3eL+UM77K0muPqf7JLHONTHjdiryNi2oBqF8/0g8TE
KTW6x5pR23E7V95wTWEl/hyI1N1r3VLAzUfjCHhx8VFQuSTeaS/PbNjzAenwfJw0I0AGSLFh7lps
R+jeR3KYc9p9nXs/ZuPyTacmcg78gCS5boM/kcJRqXyIT2DA8B+DzQhs8EddnGwqy8eWj15JTxmv
qKns6JPFIWRr9M6Yo2vOMV/54fdx0Qd1B4EYCD30UShJYIdDKPo5ELPjJfXSyQlOkg7ICwPWbAyi
N4kxfn+dD2Ks9+swjwRPimjPBDTz83XGlPnfLkjik12sEYant+zZaxPdUTEbxn9+MQSdzD0RIPu/
iLEMvmEtIQg8+eUUbJu12YkNexlp2RBsf3+pXwNZlDj04YnFdZSFzodAViaBJ/DswqwAG/Trem2i
OciHGcHom3O36lv/4+sZ5CEGywQGuvNRJwxTic+2rJzTotL48e8jqAZLnkVO3RGNdBkI5j88znVa
6OfImZtbpdCmZfPyPgbrc5XYfdD29okWNdEVOHCCHzZUTuBarV7IqxmuFWnVyH/XtZzj4/c3/esi
9Wlx8Jx1RN+m81Gq29S21FXJEM4wZCv4mT6cMqY/ke7+8SqoEqnTwSz4ZWiqjM2pjrPOPSV0eg9z
Rm/V8/+oAv6nq5BQ+g5mB8jIPn7mbm+Z0tG4F2ZS/Y2b0ZCmX/7/sUxwHrZ06MQMsKHe+vlzKyRl
fIyYnJMZ0/1HO8qiGGd0U5RjeuO6F2pc/pDS/bp/saezm3BbsHu47M+XrLMxnik22ietid1ng075
adFHQpEB1sS2ZkDBDN1uYYn8fnH8urMg8aRhBQYUhNYvXwTkwExfBL5cxcDXHTfsk72LufqSMxLy
+0v9wy2yOOhlEYMjp/64WXpU9LhUZdLOXhuoldGcl65HVWKzYIo1g1Prqvn9Rf/p/qA7+JB9nH+g
j45ULK00cI1T6Uq8HSrbOpa6n+5JdP74pb9To37+1AOqE2jiaeN5qwfBzy+xSf3W19lPTkvb0QHP
jcqBF+Tp5R0l5/a6QX9UM11NmKwm4rqJWKu7HiUD5zubmTeSi8Z5Y+6n+wY3wSLqXOoyvfULV/wJ
dPfrxkvv0vKwhMCzgALN+p39W+2jzpwpY8qaFV5ZXCiLmZnIlcZ5CaOQpZYHhPW/fxPv1tUfnw7N
TEhYAUJB/yPOLCmpl8SccSfN14h1lW+RPwDzZxi8pf8QpSJe1zs19Ws5lPKFuYHF2FhZoO5kZ8oS
o59hkTuiJBrrjMOlm9//wH96JuyU71h53t1HwoAukfjhOO+cqsUn6NZpLxmJZp3g1NYZgwj6n8o4
v6xNFxdxvgZKOSxRtCw/vwSZdWvQjwEa5vV4djFymIezrFmmSpCN//7u/uli1I2g/cI+/dVOwV8w
dUkk/okKfNZtXiNWYnSSLMfRBVnS7y/2yzbNnflQDumDryfeR/hSVWiG6GJ9xv7SIbFMsp6VxYdI
lvj7C5kfZnVNoGqWuwYPNMc50j9GRhh8ZsoV3kQE0abdrU4ON0Sa3/UQmADZdGeRj1RC7ISpq3RK
K6xOhGe1NIzXY7CR6i7NCuoE2kSyFHUGk4CL17YHXXMpZVH1snY6nGLSc1mQHL+78vY1ypDqP92I
3ymecNQ41yAufgyFMuwGhVd13clcEH5OwNXPjB5m+0THaf73D+2Xhc6lWAP2Ou6wIvg/rDtm1s1+
VMxjtdhRMOOUc//A74ItiNz/y96Z9caNpF36v8w9CwzuHMzMBZm7lNptS74hbNkmGcGdDG6/fh66
uhpVbnxd6PsGqgFXl6WUMklGxHnPeU59s1XF/p1++MseyGFZgxG+YQsC4ZIL//Vxs5Z0F3auc/Ha
2fkO0HG8dE4SfvwpiHg+5R67di3cD/U8W3+zAFi/XiIOrwwpwbN5ZYuklLtx3/70rHOKZMgdiGYX
QUSvXEnVBB7MtgVTv20R0k2Cr7ivlbMb6170d2FacwfaXZqfrIFBdUTD1PJk6hIVcVWbXtPSJsDB
Qnf8+aetqSuZeBDPEfmDPyxGxXeiKPsU4jCQCJfUKj+6sl8/gudguTNYDI7L0NHEOXbbEA472Pzg
TjPSWJ8odD+FcJREeTumG2YCcNmVxinV7UyhyscJteGu8waDGV/uPcCANtYjXX2KRNNAcM70yXNR
bCdNKup8V1Nc7nTN7aAcYm9+AUpvxxB65QC95heMyCLGpehSo61Fxkwn0i0NHmjf5kiG0l5lVXPP
gCVf8WmLQnybOgqKb6UhuV/CudnEUNJL2cO4zPzZN9q1PnvUaEIG6SjpPMGn5VRUtSv/dW39f2w+
R5WgvITFtq9pG+61rCpcktxVT2KNOR0VYNHSzaE6M2qanxqKULMHUHEFZXlpOw6Pvd3zgVgNTQr7
WpSNeqpXk/Wi04NoDxDT5icFBP029bxaPfmN6L/NvclvQU7NXb/bXqWda9eKTYqa6HyL8OPyhfzq
7heXXAl4WRHirVGWdG7HLYmFosHUG0I6FfEHr8E0vkMHQbka1gwhPCgXz96PdsJ3ZFifiK9E4qpz
O0ttPM8MrNe4VSurVmhWDhJOVti9dV9Nozs8CQZY/U5xuWQPnFcxf4jFJx9lMF47j2PXUwKLz9CI
16bC1+tZGyNwTbmCqmrkIGH5U+7fOmMipnOGEzdhXRVjjkWqQNMKGt2vxxkfgRVZsIqoM9Pm3L2I
yu0KzNEuFxgQGcrqjLxjbfi5D0Cz5+rDZYzUkHk1uhmJGXIHNP3MAZPxpZ5/hMOaPJAhmB9+l+Dc
QvPD2BmZekda7pc8ybJk3+t+ak6/31aM+7ZUD8/eySew/6UCaEoxpwvIXMwiy0+ovWjz1uDwGO88
l6uoDTxOZlnh8r5a/aaZ27LXX5echPphztHhfx/NUP3xJXHtbSOROuztgtp3vpRCbkpshzwfNUBN
T/j9UeB/Ln++pxEZM7Qr/9alGnyNlJnP8kDQyOxvSpLf67FsDCYNxeLwxjrQIuyDDK00f+yrlh9E
mGgnh6aweooARTt/1rNvGyQXfVepp6CGXnx15wLCgJSVw8g2yZfvgcEkYy+D1nIeF9GgAmcLe2Pa
PMTkl6zHjAGymjJpZPBd6DDNUdzBg+1/YmOuaJVyu4EMVlTkWLtklCRriTZvFK68FF2PWk+N2SQw
61ZrgCQhneRSmuaM1IZCPgQIZKse5fT7iv/fOenfzUmRE1hQ/uc56cP3irb3YvxS5X+1If7+hX9Q
UxxGm1YA5WRDpgX86Z+z0sD8jeWayaq18SVde4Pn/DErtX7j/9qAJha4Q7BQjFGx8g3Z//1fG1GF
czgGa5JhUMgBCP6///M+/+/0e/3w+6a8/+Xf/8wXAfXEIvmnzTtYGCAUyGvg+X3Ger/yCIvS5vDZ
mJifWGmWnRZ1Lqhmnew7K5k5oYaYpuwYXkZXHqbBa8PIQgg8O0FNrfcKqFjGWWGC7GH4UaAdMxc2
IrQsNMjwvRmH5H7yiCuWizB3Tq5nEa0lTJANe9bvSWk61FQU+NOIuQnIZ1Cw8eTwkMXFLLMVdoNV
fwR92l0W2WZ3PAtMlqJ1/ZBYho21hwjDvgtNglxZXbbPqepmOJEMKnFNzaYPVZwFgXUHa1tUs5uY
yBiDDMC0R74wq045TI7vhhDp+7Qa+XXma17dpZZ6Fxqhc5sx5WGl9wm6RL4dkiOF7w25wpjcByLn
xc1oh/I+r7PhOk49BspEMoUzEyKOIL5nCHkJ8xOfwELs8qbQczzpyOiwdRdlGdLk1iQE+wrX/sBR
yY6F4autsJmTZuWlel8xr8Wk1aZ7Ypkh6FpHXCZYaQ+DYXuHwVvLR5IK9YOEU3tPvs6x4M6p6kKA
r4llsCaxmjL/wGnRHGJ8JdfKh2CyX3xvyqJONauMK9f8JHx/uNW188p4aniGb18F1NPznNpZhmTQ
UepAHatO2x+RmyzqV+2AByjzkHhck+TqMETdLbapYvpU1qvrjv2TDyAEdjbHhAtTHvNHb3jV3inF
kz8+lGGBkk0I8Oik5oODelXjn7PsOwF94k0sTfqhK+35fuylS1jA2zPbHWKXwwduk6E8wuUqLmi+
yS0Gm+rRNQfnqhzrUz453k7V2M8XTy+HiknK86Lddu8ZLhRGk8L3WgyxUlI+EUs377XR+7tkdqZz
6tVHJUEFlOS8Y9pwa7JodcmoeayTkwwT96C9Uv0Ip+ldJKFxqBk58SwfCoEEwLO7n+f2TCS8jNYi
tPcca6adonoOd6D7WHO1xTgfbiBdZVEZtN6ObcErz3ee2TMz4IwCwMiFAHea+syNU53iItUivxRj
ZryiLqXnpsjaJ7domutCSP3iB327o7162Xcb4AjQdXZnjy3XDZctor+3WEc8DQziqixHJncSFTce
xk/28fPTMg1bLCB36vToOeWSig+cGOf80IdiwoDmitXx9E5OWZoFTxM9pF4TL0YY6GfLUu707OJS
dB2WNJWJj8LhWthzrM5vvM70H4cgS7JPs7OWA2sfI4oD4bxNG/Xyhddn+xJSDP8ppJfWpFp9Cxd2
uMc4zInacF8p0KjkGfAOKkJRr5LfRpqkTo5dDfT4eaRSZHpmGKhd4kSpIW2SiqSh35QaurXaraOq
/C1F01sxSP0QBkFvzTzZKOhN30qRp4xNMoLPO2XUKMY2ll9zPzOqJ1Ij8nnz3xFHY5aM9TAgH2oP
QD2WAf+//sn68H8Hf/AehZotgR7qSz5UtjtHVaIG2ujwQKizNGvXoJvapMX7pVLaW2KzRbNhCwTe
hBtLzL+f/v67Uv/dSr2d//7dSn3N+377B0rzX01NP7/uD1MT9iQTyYZWWhdz0l9MTdiTyMOxQKO9
/GOFtvnjHyuy+Rv3LpOHEEIWC7Mb/Ccrshf8copnFORSyiMIWNtYhc1fNZbcz1tX0VVxLiUUIj8l
U0hgjG0z63SwcwdSVkO7UbXw0yAsCYJVDg50OFW1Uy8fVh5tbYRLgMAvTloyc6FYOHiobYrf5aR6
/MVADGlUh1u2l7leb5LcX1ht+sYiFzeAPvLJzPJTct5YMlDYdz9xRsAUOMm21PsduozFkCJz23vC
uuHDByE9FEwTB4YtA/mTmgSUJLnU7syd71XE4PgxSSLTzdZ8oWNuPTBBIihEJvu8MFAUET5oo2pO
Bc9/3T2LZNXGJZizSUSLwRTm25jaqXeYQt+wPppjkub7UqdzJyOVGe5bZoZLzfN6Cofsph5sDud4
89tmemgtH1qnnwZTereGRhYcanpO0if6Pz00IFW2DgD40gzwuY+YQ40M99pZONvfTAlV+q8zS2V1
9FoTxYsINeDWJYMLn4iex4SYgtUOYlhAgkqsqPQSE1tsW6Vfy3VJ70d/qfc1qzQd5/6CFVWkbfC6
6nkw9pWY5j1HUlg33krfwzRvp3OCTrId7/xAmn2szNQ+FWggj2tuYdlMkvGVygbGrcWx7EoTQEjA
US88NN0YSGC1XnvTldOhddrmgXJviwum8bFrb4ussYTJ4+gt8wfVuOrVzBZFr1WVxTbWmHjIlfvd
qGb5hMpGNTI+afz+RnjIiBxQgR7ab7A+VERMtN7lfled87AaLk5C8Y4QxRN+bPU4zozKmYXRpFZN
Ldu3ybv0dXWew+WFGCb1D0YY9l/dLTtZkofezWTrzgr6596chvIGTb0n0uGUMZap4kM9EtpsDZEd
Uzaj7x58miLq6A18GLHbfElHMPEAnhfzDgPxmkWDFMaFxDFftZiV+YgzezlOkJU+2lbxIo3GevMg
DaQxQf33nFX3oxdwU+GDcg7wQZxzqsoRlvpMgNqevidJH3xZZyX2IWvVAtUrJVmysnFdOXKKbHIi
1Uw3o5O594Xqi4M9rjawszSpTx2H1TMGHe8Ktke8zZaGNONXUISsaTiHUpEgdZYQP13dv/Q48O7t
ya1Pyi7tG3Bf8x3OlvVUpo0Lfj4Td+TR5WtbZfKNT7Q4zrO2b3S9FiddVYT1ISW/N+ngJTEhGv+S
d/b60JIruS3x8O5wsIgxSprAf1rkwGHUMGweK2DlrpT+2o/hanoAh7glTsRoEiNqgjzf9qD2vQ40
jYednX9CZiFCaENfvzZqzK9DptoXrfT0DGK1udgqrfYGaLw3uNryYzd6ww194hBYZ+1Lat/91TqI
MisfmGkmZ1jL03FYzRTdLgwOXTu6P9yxY1Poe8unWZJBTUPjXKmmJKOQXLEmYTLXmRlNIZYrUaVn
K2xuFtekyzu0o0Y5+puuJmQERReUiRoeVW5T74To4VLkFfvgzAS1PHvtVyga+sZsp/xQOEsee5Uz
PcrahfhDacOpZqv7yNhuedV1vr7jMBwfeUOS+xml6NPqLyLGs13uuE+GXV3OEiySI4+NI72WzXKt
PtAXQI7BF9wtxgbK91XzDSTMcFyhsPQURpr2fvZmIjRlNzxA46ssDP/LBsEbMxLLrvVjtbIQzz9+
Si7lpd7RovRCAnu8Zkn5wJ4zvLNqK30FvlkcVzdsD8AjkCjIjZpXL1fmNRxUeMcWx3pc5lGzUNBH
dlvXojiGxXxftLqBisONyvg45RRG9L2Mk2mYzzky3aWpYSvgFshj3ozqqtshCn2bR01VVDeGhyhh
tY549pbStWJzMJK4b73lHW/c3PFLB10e6V7KU7/07VflwdZFU7mwljCMpODss8QTcC56l+kPjRwv
opP9U+oP/h3aLA4esBMchBbVfugrHd7Nrr9ex74xvjS1NlnRxPRU5FsYjLvHv62mafkGTYFabERE
91RV7nQx0nI8Jr0Y78ahsy8gFjY/Ttt+nFy3f5jdJdktwJWOdj5nj6xszZsX6vprMFT+jwUxsIi8
occIGabfJjXLLddLk9PQ0MwR6Jtl7t0dx+ohNmp+zjg0euMcCMV21exRDZoyEAXOR3ynUGYMNJzM
aT/SdDLsax/vFATwPIldT6oflYM+CUO8/RSkleft2ZWXX+00DY7EQ5KrFklwMwaVAdli7c5ZGJwo
jCOnTZCY9aRwhuJuoMn4XgZlf1ViGfaajh9q5IzhmgzoUNJR7t1U+FhAx0p/gsSNstgALY97+Igw
Ju1JPzZpH9yuRrh8N21d6CjUOct1yHt8U0yD8ZJlrvfW5lRzzWycnQjUniSYNQ3UVq0cA/fAIWpC
4JV9B2yf+lAKqXcqKBYRycQNjv5Q/7wmptyOrdDApysolJprP/iiGB8fzNz+gkOlvhpp5T4Hadoj
w8327TSEDo/BxXpA3DZjKDzX7QPEmWOL4zroeFyqfGNNWlcdDPKcWrUddVmFXJJa9gc/GMY9Z6zi
0La1ezQ8WWEgRNBlVmBh58ppG63tBquu2T+CsHPeh6wjdCmGZt3paQyfhSsbDpO9dTDRG1/cRGZO
XBqN86CSlvOcNc7hY5FCrGOsU8eEjG4DYjR87KVjXltTXAfHmy/hYJHFyI32e6ZzawBOMoWnZGj9
E57rhtLMfomrZOkfmrVoaGJr2hNIKus0A8OLiTEb8cTRfz0movM/sRewXma0hwVBAmJNUBr6rQS2
ekhU8+q2hb83ZPhoW2BA+P3MgX3HBJre4pFHff0gMzLjnXH2KqvHAO14XcKi3a7vedOR9eqBeF0s
Pe/cmuWNIhuy66nTH0qpXLJdxLYE3Uc3GmaAPExB58udTSGnjGcewnc2jKBd33YfyQaV93hmSZIk
q+kcWe+qw+hoyGED2W0jF/7JIlZ/7wsf3dv08zc2aF6PHy1gA7IkJ93IJE6hTViRL2BYnt0iFTFX
NsY96quzuHNm6eKbIgeLYI6j0FDTk9d1WTSt9nT2zAW/IbF07hMGiVwcof+NjW+2p5bSOiroiFcM
PmymZ3aqFek5c3oezSL9YKq6+OBY7AGdtF+d2CXadE84M7xZ1dZ2nLrJ2fQbXUYpQQF88jUrWBSM
yTnXY7fusDvKixzCsMUZKHLNFjOsT2Vrpf13u5R+H+KTZNodgCNvQamO0JxQcbuLy0H/ETu7fXWc
brkL207sQpWn8ZC28yWrpnWfsvF/Xb3gRjreS+pxlNVWfsfsX/BbOpdS+eIzhGArgvlcxG3iMf3x
S9wn62idF3o4o3HK7F2L/rFv7PVLl8GC9I3HoKEEI4Q6sCswroPngSxRD9V0NMGkxwqE7MwR4SYv
RLkv6EniY7EPegmcOOxDvbMLNjdGkcO6yO0rqMk30ZMCm8cBvJ9SxU6poIN4V/DGlFOIBAYNIbA5
cKPoV5c0a1EKdHDI0mq5gB2+zxbH+mh3WErjYK6Rb7yqOwi8UPFqzOhsStu7tV4Ggk0lpqR5ilaS
c28L486jzFeyWWFwRLvx72cv2/SPinkIl98XdJ89/vrkhayAd2qMZLm4Vm9ekfvy3ZhOTrwGHctc
n+XnvPGxRvbDGjP5duPF0VPU1EN6V+FzP4RKLveuyS8ng2Kfr8hTXtt0Q8zs+u86cH8dtiKdEp21
kXzJtvxrwUqWOEuRa6KNkr4otnAz0NZuDXhKuyR/nx2zat+pJ4BSQQJP/Y2JgvPtX3Ti7cXJxFub
d4qapy1D9Odh65pXnbesTX4WM5jeVdJ8BLgruweDqp7+dDr/h0j9Z1H6F5PBFh0CLcX/ttPvv5oH
8zaXHiEKXgp0UrXnHlnwbC9p/f3fv86/0Om3F2JYHnLoJ7Tk/YoyU/WyOFSpp2fdJMsBk49z9vRP
ZG4+PLSdwkoxhpmZ86GXXxo/5UQ9rZBOaBjdDtdJxk/373+kf/2IfUxbpKCQ9znT/trlok20s4FT
BtNFlFQM7svRllvWhBw/s3Qzzbr3WY98zgJE88/X/q9+9Pf60XZl/M+Tnk0/oi3nV/Fo+6I/xCOw
ESHOQpy82z36zxFP6P4GY5DIG1fxP6Ujx/zNo6OQmwkaIvfT9n3+kJI88BP4hXz+ghlgtfmPhjss
9H+9abFlsHZxE+GnxPTr/gq866hsb3WbkrpxTVLPRQFpcogcAh1L1HjO+GampU9Ixq2fcvq771b6
MqI2IGwSV6GWe+Hn5rMc1IrMbM3qPmODpSLPIAUQ+t1xDnP7MlSaac6YE/B3A7xf3BehAzaMcNNh
ydzsZiym+tZMQ+FHtVXcNkgnD369jRDMMDsmPpAER7GLjdPSACXIo+y45ll3VqhLV92zTV/XPjNI
LOCtiMoJEhz49OmzAoPJmkkkI7YBYR6lYQ0niKfkcYnpTuSQpplk81el1voLc5Xguio7YW84BwPL
P66FafTmg0pm735KZgKqwgsp/toQemdByP2kOst4n1jYf/iE8e9tBOFznZTd93S2khbwWiMe8qzR
GyCoe3J6Z7pI5ZsYHFgVgNpL6zsysBlLl4wMiB67ZdeXenepWaU3fbMa75ywO/aaTc2IHoLDecnb
1xHh5alj0waMXvkfsmYYnsNwALsFJL/7uuWcXjuDhxO5fmeJ0DOkZihuOnyf6Qh9hzCCZeacFNxQ
+TG+mu5Li4dDI3pMn3jKW7zJVfG1yIfhFK75cCCxnr+vpi5uc7O7N9bUvahuaC5dsq434NppxnH9
/uCDYiezjoqfcczUVsfnmarXMA8BPfIuab4bYz1kNLu4WYSfxF1devyicyjp8Un0rchdA2CsmR3n
NilecDBnn9SQszajCtoUu0GP38P2l2KHh9GEKmJtVfLwNdW57Rx91U64gkyoTZtUsSCBmDG1g6i2
IJVNfZWxcbHZzJH6mn7k0tJsN+bN5FcVGCUamVWgERDqnXbxb9OuXndg7HRkbaOxZjDkLUNFwRmy
nGBmoWL4C0H3Jv2YIF14nIhS52s7T9BO0M+8o190/C1iSFtXEp4KcpHpDkKduCOtEj6myZLFU2Ds
oQRDuVrGnde5d3kRju9g+dTZ3MKKkzSMjAmFBsdeZfPNug5ejxdhqD7As0hega+nxiVprVbuQ6Z3
39rJ7DVjhUk/jeCikv24KPE2INVWMZQ4/Sh01X7usN/EYTOJL6qzma+My7BsBRFFcALwSONlF7Ab
za2lB2Zro0MkA3itSCfC/miPZnbTkoH8ClOX+kGU0CWN/Q6pqUmr4LOkzOOq3HkxUfVooGTgUhvx
Iv1kA8MVY7HjKFkDJa/KL5hNwg+Izl8Nc2p2XtPZV8Eo5LvbdAvHDCHqap8ESfUqU92LuOjoPODD
qrq3wackLwJY3JyDpB5A5o/stQe089uNn71rhu4R7TNEQsm5nzvTpV6WFXwf4ISKS0p3SaRuHd1O
k++cLNT7dRpgo9bCv7hmT87QzmTA+4BwU2vNE62zEbLBlpvHEXjekzUa7rHOTTXvjHBInL3jd+ab
RaPbfnV4mI6W2cAnr8pccrZtinO6AIdXToLjimqd4akLcoc31i/lJ6DOLdR3MdgTD7NEn5MU1DLA
san5jEBMsMXB2nhqTaIg+DaX/t7pO+O9dv2SULKQI2ffxeDhssL4qznZdRGleCPl0ln72ZuW6Xtb
ZNPb4lTianN4K/fD1AdLZLsLqI8wsVv20mGidnDPyh1sBzpJLWOyQFE0zMzBV7CNm246r6PgjIgT
U0v/4jQLrRb0Bz6GAJTZFufJGepIiiuL0e1sli8c1PURzguWNvY0IwFZUkwk5ZYqDofR27fmvH5b
SbGV+1FARK9tjcxbZyMZVTOQ97MpilHfOEXr0WDrdFOTf1qNlEa/hQOBMl+DRXFKj7KOqcQAbHfp
5X0yI09aofTuhSRFuIqie/Lob3jyhJ8+8FicOQqo9cw2/qMLo+OpxZfxpEWfWJGZy+TjRF4DPnMX
6KhCj71sjO6PQeVZPKQo9noK8qZ6MPVcPpDTRphJS2BvuXIwEIJrqUd6NqTbpTy2We3iuVzyO22F
+tAGfss5uC/LOxma/LieooOzLzLeGLyB3OoMkCLR9d4tIVXvfgW2x7C8Sgg3rkPy7ASdd5a5ml6o
mceJlY1J9t1ejeW+MlJdHgejrbH/Qf0IoWM/r1zj55Rf/L3J2/U8LZ17JPcOlTJp188czGfqultj
PaWiWA7SWaxoFoPetwP0fzW4PI90LtYba1j9c5ajxZSTfGgLTbCwtez7BKaRw0NWAUZbk3PtSeva
zXVag1J0qEYIdP2Qkh09bu/nS1fP4hbMH6q4Y/iQojrjXtGTYe8ta3Ifi3DNviUDEdt8NiYj6tqZ
uD2Te8Dr6KmPluqmY7iE4XkUuv/YJTXQTuGOJ+4nD9aKrrvIbvyw5CMCc4dLbTF3gwTgF2s7bB8n
2ywZsEibighGdYDBc1iEbeHca1Um19UP53PPwohZzJruoNi9m3UevovetuqILuD2lUqR7LOJXYMS
CaM54mk2QN2NPGq4/DIWaaew3Zg+B/+Qj1I9UBEyfYbaxxh5EN4b2Ivg3loq7rxse2gSdrLy4zpN
7rrvOsuqn6slfCVZTLpzzKjIJcXXahGbVWBlSL9T+JYbiXrGMdS3D17HQPNk++Sio9XzFOhzKVrz
1vIg9B2bUFRmS/wbIGK8ViHvfI25+Llr0x3Dc3Cedub5hyb0/DgjiprEMp0eV5w08gZ2UF+CNjSy
V7ex3fyL5XGLx4SITXffTRDuyA/TE7N6VyFmju7HOlW5qS9cslanLv5YoU18aZP1jW3v/Ekpo3qX
42x9DAftv4g2bS7EtF/ayl/2pd2WZ7+FO+brETtmPT95xfrGA/AH+O0vcvDefD3pr8T52EE49FZE
vavffBqbT54fFA8U2+wnpzRu+XCwO3bAgStMpz/s1R0Ra5pWIbC3dkD6UufFqUMLeLTdCQSUpsii
jZouTNOXwNPdvqTJ+jFDQCOjWk9uaUT/PT1VQz4sf3t6gqD3b09PdUXj6F8tcuLn1/zj8MTY/Td8
bvD4SJeZsEOw3f1B6hMciKidMiGGCBPFiqPSHxa5n6Q+/hMRC2LB6CH/PEU5zm+Ax0CTcLoiT0aE
8z8ZyDv2L1EE8kUmNa78YxMIDTbH3V+kj2atFYU3C1DOhlsvLowSeyaxAjd2W08tJx/4QUVPQQqL
cgvwXylzMuIiT7NvfRKsNbPnEj8WNIN2plylLal26X3vfe2scA+rNHA2WN5yW7eqKz7lq9Pe1v1q
fpN2OoPo12rWkUnYe+sN4ol6zA2v/uAPg2+d+zYcx8ts59107dC39hkeZrZNVrGQwvaoqUBkiYVO
BuxFxq2plyanniugq0NWq7Vrl+7zyE6ep3QGjnWcGaYtMhDfCZpoN/rZCBkGyB175vZuFjuwvK5U
sk5nRgT+yaAV/jzWpWwiBmzz49gaR0tqC4ph+GkCZ37MjGKAlZDW20+1rPLT7PI4sLXd7DQogSwU
DFLlirYrdhR1JcNO14VkREaWw2WJrTZsOR3CPZJfolYR8cnzLpur5uhl5e4Fwn3/QFOL9G4m4bvv
vCPQlftQJt3L6sGyI/jfG86N36Wz2stuIx9iaGqOXdBkFL3M1nQFU0pNSEH54sK5vDp4TOlGEU9O
BjTtJJkPkSeJe9WM2r9hdE/MeY0Fu1cIfNRxaMkSTz8mSeuzKJUIRyYmoYSuxYpLaOen1d33m11j
oYmOtiWe+h6KSEGzzPyNXX0jf4RS9D9osGRedGdVFF6LZ79MxIEH/pZJwA3vvzYT+XAmhuF4S4OK
uniVJmTgdyqhmbPQ8pw7YWXvu0I9srHu9mbO7jHJ1HS/+VjZ/OSSy3JW9W5p8CKCI6EwWaqa2hdz
PdC7oY6KWjKRN/PT4GkHbBccPFBeTFPioh3SSxCwLY8dm3c7tmSQnJixjwMtmot7phi3O/B87b/U
VlO8W0MrbOTR3nNZ7bfRfACiDAaX7Oyowmd26e1himAhFqjBgBBPTqU/Z9IZh3itHffB4B10OYQ1
KTXrjnmTSqc8lLNrHEfbqXY+L3fFGNEcxSrmx4p+J+o+FbtKRyR+VLYBTktlmeoGdb+doglzB7tc
rzqPMMDvoF1JNkQgF2+JXawXdmEmaCyTkZVmZepsiT+lFAddpHdehiix0453SxAX7smsks/sCcID
bJORU6Xt7FWL61ILv/lAHOSO9iL3cbuy77GImDsUgWrvteK6Sg6ULNpDHNiNyzCy4Qzt2I35oxYL
lDZXpa9pkxOkbx3YC6MqTj3Ou2jJvfQo5aiOBHETWkWa/ps1EXVpvC58Th0wlB7kn1vqIj6ulnlf
2RA8fSPxbtU6uui0Ladu2U+f3BbENHTBebqdc9t6K92FKbmG0oKyWZj2k2cBOhQQGH4YfkCYc+Dd
OKhVDmcYee+4h8O4yzFF7Ay9YEhVsM6eG3uas9jyx/rdCZb0xZXYOrEede7Xoayhaod9z/dojDOO
BlAR8IaiVkOXnkyvvqi5Bb0vpaQejeCIXaXBaXa9DcJZjUGkPYz7g5sC7vT1kN+IMNMvTOhUXPD+
vPRz+8hlXT8F1kI5GyqRq6DKGYB5A0YLrX8JOgPuAp0jwbfZq7KHsAjy05jU1Te0rXBXmGx9ogYj
vbdfariGiykobZBPQ9mBs+Tsgo1zcZ8FjTQlM7TFYvhqJ/E0rB8CE51imd0UlJ7f5neSIGTEeNr+
XBfg/8pMG3AJhSN3JOHdNzeYYHiKZn2qEc5ijpPTJ5XRAO3asr5akD8JafrzO6U+43607OFHqiaD
sUtLVVOR9cSCLPvVqtbyfhXIUSMtDw9L5dYHUaTDg9V1zU2C1/aZSdmqYgZwqj3UdZ/u+7o1vxAW
6XbOrOsngOD1EC+MgEDZaCNyGCf9mFe8H9VY+W82JwIDV3bHQZdHTpwNy+hFEL6nXVXz5A8mZA8/
GL2r1a5Yml3DZkYmrA9pix8jmNzsUoddw+YtG3dDa3IQXMJs+Z4v3fDsjmkr4xZy5a43l4JTjuix
HczAa4RgOrV2y6JjYjTfsZzjo8X1wynWqq+zbGRs2G13C41neix8Y8/YPby2sCryyF/yLDnb3v9n
70yW40ayrP0qZf8eaY4ZWPybAGIOhkiKozYwKqnEPLljfvr+QKW6lLLuqq59bmSWKcUMuF+/95zv
aPlNIvQ21OmXfCnUAKScUPQbt/Hmz2LUwYVq5A3eW/5Eq9BD61BPUcosO7KgHcKd/ySHJn8umXo/
g8CXtxVZaZDFo/TcT8BBErRej7q0ZgCwdbaf5TBvo7lrkWlUgFUsPi0jbYaI3bEqlgF9qts/gihD
OpRaqgo1RuoBJnGA8iIRty36MXPr0t84VaNGB7TMx/ls0zvMg1Qigfdqy+R77MYXawKIZw9QO+ap
ZO6ZUYGf9FR3fjd4fi2ooyq9xaE/Bk4m/Od5sdVBWAsbvUc26prHoNIdshDn4qKTfCCmT5LVgYcT
5F9EoyL0xunSt7XcIb4CUfJ3cfx/KY4hUq899/99tPD8TXX/eErxHP7iIvnzkT9cJC4xug4GX/z8
gEIskyf9s0T2jN+w4TIpYCZHq/9j+vCjRGbQgIMWiDVQPfIk1mnSj0GD+5uOU5TT6sq6Xpl8/0mJ
TMX910HDmgbExIoEdzwkJLJ9GOh/smLGs4XVLoMopEDMnOmB2mzyRqPO5lxaIc19ahimtRQ+uraB
nIFXLJ1SVl99POSJ1Fj9o96Fs+PLz77HvyGEz3+isVfsUUHFGxNESX2uJ7tddfhdjtAgsY+KeDa5
67M+Ah2nUdaRSWEX9ga5ixMOPtMBuymnQxtZp8rL+4F5eCw3MRk6j+xxkJoHe22POdkLuv4nWjUR
eOdIoaHtBrjBI32TdNBoNFhZfxePtX7q6ipNNlOlVrizRmOcqhRZ/tymFx6iN4Q5uJQEtXaXRk2m
iAEBHS/Ntr5ZxrnaTMoUz7AsB4ItxfwQNbO5g42Z3Bq+QjrmL+snB42riDt00jBFPA8fbj3rJuNc
fo4TGxizSY5EpvhrulP6mTLjsc5rG3JnN9x41rzzhgJREitRGA/1wJE6tbrPOVlot1Gto2vDyY/O
1JGWTu5RzycuPG0J/T4CT4Rmd2s0A2LcuS1C3nNOQ6uj5KtpvRia68IFM5/7PG8OeppcXLpKe71P
SAtdhi40ZmEVoTskRmDZaCOrIl6sS4dqP9qoinLYc5ZuE5WMHcYVOarmLNtQ7+hbDU5ZYGWzWW6k
qmx+D7u/kGBA5IV4pZFvhz2fZZtH3VNUzYJ0D/k4w/omPEBUXzAhzSdCWij7Zi8J7XxeJRI2Cv44
vldWZWLcdeHVelnZXtG7onDxizJx2fdrB8+kcm5zk9mTlrjDayQjFHNtnRFi5EwXZt7fOsOMaULN
i4N2LY1vlzFTp8lHiZo5ZkDi2XQpnJxkF93BVVRp0R3IwRea4FVgE3l+TJDXxGe45sVwN+GXbN/g
nCu6TW3PlGLQ75yysc9Z3BI6z/Em1Oyqv9gKQV3QDSVf2diU8qY3xJdxQl+DilXbGqP4ZlXlF3cc
axDqdtUeITz0uAfh/c6Fq6uQ6bH3yr7dPywQHgP88gVlaFSsSvK+L9kfejvbRXhAi6BAQvcliZda
hPrcpwSOaC27Zb4emBZ+5a3tduU2BXUt7gZUpwiTE3FpWg7hwcSw7G5ojNvR1l8X5b8K2W8kWBIQ
jaLEIeqkDZHubtLKPRodYy9iw3kmD/4hjppvwiAscpNhYN5KgJ4HuxgG71NSMGWhT4cDMnEMIrNY
O3gGEEmmSq4oU86AjEZ4N1WpuJitBDBlrEbjRvlqifdeNMkYX2bzWqZa09/LbnZ5S0xWtD66JVO1
5lCS46UZzCFU6xiwFz5kSDM5Mi4c2jtjAbdGPple0lFEnk5gD/pFwItNRUwQ3g70LWa0dddgyYSD
2rZtOM2QcquFeuN4z5YsZ3vTLecKUywseZXs0cLFm8gxtJ29hlj6gjhLQJeE++CqeoEOyPk+a8ez
R7yoVeHURpRAMKa3ZmTmMrPvcLjl22ZN0MS+RdE85BZ1QNkyFyBpkyFGsx8s5FyDXsY32I9HvoFs
pSavMZ1258mbCaHmE/llSV+ckYjEYUkYaIE0qfa2k2aWu6w5Iw8n33dywloqgygfgkLtNTK0sEV9
oxdmm25sVIOQFmr86KG96s+OOWgZVirZ3pm+NB+AOpCtB+47TGxU0vhwFpK6P/JL/TXKdAG/tqGk
Gc+2Ba+RBeJLwdGNlveagmqDJdwZNpaoaRmuxRLPfwAeBM88uO6O5AHMdRQx/X6K1O+0h5lWuAlq
qsSpdBoPJLFGJWg0skXkJS36L2ws2AZAOB9IPmNWUUQ1ga5dMxLuSpHZ/W5Ua+Sru6a/WmsO7BDr
n2MUOAdzzYhNBWmxsvKyPTUnwVW0uBXcO8pV38OgR2CLvqbNGrISRzFjxY/8PDk6I2R5epji7HQE
MLJje1RWwrj0GEnO05poOxnFfQRcNnBVjHaw8RXhWjL9o0/nvmbyRVuobFh7R52Rmg8f6dj6erls
MkTwIcrIW0nkp1ZPxhzY3KI3yZq9m2LiDvKiYSC3JvPaREWcKFCj3di356ksW7Dwk3q3azkxb2/G
bUYm94X5dYx7mOxfufhfyYMoj7Et31sfD2Kfj1/LkmOh0Geyg3u2G12SpipVfABXa4aEY18H5Pyd
QvpplqQceP1g38HTLHdSU9d4zu77NbN4TLLbie/1FE022jRRXGO3XHaTk6NPm9LYFhsynxyyDBQn
ldyPORoN8NLR+M2PxNTNm7Hne71vcXI5Jw6lM9HKSsT11mDnlFjgV/NWJ8wZJ5f1YetyKm8RWyzX
zfKZyHdfexk/zGCp63pLmK4eMXhBq18MkX8Bvd/tdH0+EDLz2Xalk+EmWyhlFPqE6wD2n8uKXMmN
wXm13ggIqd/mWp9AEwKw+YQmk1luk8nl2Wz66bmsxXRysSSc+7bC7z5rhLoPpTuROzbnw0k4+cjS
X+CFmYakO8ylWLZ6yYrp5ZrzRh8uC6nnstMgOHNugHOV997Sp9i+SzJ7TXuL+GTczYYXv7dGr+1V
hy1VzV6LJrPVd6ZkQrIpEZVC8TX5gvIZwEEi4vjJmqMmdDMMevTUFUUHodyHVC7WEAo4qaTB9vq4
YXdbxrUFY54lSsdk2xkS3sLGmMlb3rBziR1GQKSjHkHZGVCKnslMDuR1Vsjzw8VTQ3/EZdKfiyTX
jlrbOhR+kejzjTAt/5NOugUR2N3SpjuOuTDpPH+RYWL2+DjjVrwSN5DoIfa/7M5LZHuf+Rmza99B
sk/Ilr1n1DntQDM5hxW0OxBzTHDIRhBHvfbF5u658H0/jOg2XUrU0fYGkO78shAVtHOUvTcZhSHP
REQ8b0gWN3k8mmxVm8OBbI8RuTShLFtz0sqrNTvw+KiAWuitjuEd8eKKZ7IHsyBucHXi2TQ9gsEY
wTLuyzvBAY6RJYv3sjX5ks44Qb5aLvOK2bUFScfUWwhycoHY3ZdkI4xdj5hX9qjpO4y9RBw6SfkJ
2TFRTU6e9NvOTm4ae2x2/lh2l7F37aNDcgWiYRR7d6qQPaHKdlWgI3DklkgW84Rzox3CAtntOzAU
IPvU3I/G7LjnyEoqJ0jhSl+UoDQLo1iP/ZtS2IizZ/elwxb+DKAgxstiWzuEJ1hmJlscpTEvMkDY
77yajUXmEwlb8pCiPmIvMfybIpvnb4QpIVcF1vvGepqeUiCSpNRYzssw5Kicc1m6UOrblNwGYgMN
moKkZcAMNRnT1ubWdkb6KITpbYkk8/f+ROymPQ3DeXGH8TqreLyHmyE3ZDNNaGsYENd5k7yRss5Y
3qhrC3Vy3TmbRm/ktjVoKJb1lG5MxNZbjv/OzhiE+w5Bd7o0Kl2uXrs0n9FKkMDHep79QStRPfiV
KF5iHSlwaM+Zf6pnKI1g6cSJzOJ253K9nkUbO3fm0o2IvpH0G4vgBRZbwzBuNdsZuQa1P40l2476
oHbxy7A0l9VudBp7nxUatihBLd74xfgA0cPcaUJumWrhKI9RMGeEbl8zJF5nFgmmtWXCzeIOyHcG
Vj4zZ1ifaG2zzUkh3M6EidRBPiCrqJGHUjHA0G5SapSiFC0FFP27hHQ9UhKRCmzTtnf+GJiEvTsl
AShBU/jTDdDZydyN0qq/05z+lhb+u+EYGKt/ORy7fvsq31T+1+nY9wf9efRHQmjqgOfsn4j6P6Zj
6+AMypxwPAgR8On+ORwz0REC6OLM/wGs+5m1L/6Tk77xKy9ecMhn1mSZaB9MOlXWL8Owwuw1JAjJ
cDHLxR8SNHVMt+kimVabzdUF7rU149gCe5hgdFh1DOR3jw/2Km5Qq8yhKD0UDxVv/0auMggsCs5l
+tBGdKtMwvhQTBim1HaAjPoXaxVUyA9txbDKLPzOS6/GKr3IP1QYa+jLtoGrF9izbV67Va4By6bd
icEr0YOI6rZbZR3+h8ID0nv+JOdxPK382H4zrWIQQVn41ItEA1nk1f59kXjlPQFSmAMRkrACIylZ
xSUOIab3aFbk/Qoz3mG/QMUREXerjWZ3yhumQtNo5sHgYO62EgrKTYph8aFPs+nNdcv2kKo6wrO0
ALdp6eLfOq6TPLdl3uMOr7MmNOPB2PmJy/THbpN7e3Ky7SAsTvEaSUAXCTPq4rXqEZ060AEGUC4D
BCZKgTCb5aHq+jwQ+vQ1nyapNiarLbyzIb2Q4IVus2ps9QXmPiOAlt/wsciz8uqNQ7LTumQ5yXLl
CCXM/MJi8NyVpUNkeRZp6dqeyA5aEX8aYSfs3GwisTux2fGhXh7EWDNOSDiyksaZXhO9BH7dgfX+
TOHZ73JEYkGHjOeTR9L8YUbSfeO2YrzQEJ0PyLLNN3zE9Snz9e6z45FqSBtUy7e0j7ocIw97bUlL
8gYOj9i1uquFMICrO40673M3W90r+Mvijxn5/oMxEDXjMAD9RHaOdjU5SFFUdi98V+yTSKp9Wq5e
+WLKdNjpXlOFFb1aHLg5ADhha1vNlBMKO6U+Yf+BhTV1U+AT3dtuMi4cvGCYV39f44xl0EodzYJG
gAquCMqbrcV04W49HyOQ9dsOoii1einqYefBH9ygVHsbjME7f8Bwoak3V0vqnNAquBQacYNBouJp
N+maP20Hhl+XZrGsQxE33oEWevEtq+LsVjSUymkeL59yXEnNJrMj7XcPMW25iWKlEwA7OsVEHwd7
Y5U6LutXkpxS5sobqOwZxIjCfkn1UjzLKZsujp9THVuqv0ndBl1k3bTDHdmiyyv5v4aNmaOZzhTD
8QNpkPYnD6c0Y9N4PwwuSkp426jkmA3nttlhRBoInOKarFxEky3UpQTkfegoOiCodioNRa7n0KTP
suho+Lo8sq8CVKFSxXXCBIApN7Vk+cQy0jDXwPxaUQNukf3ZWw7x4sZNdLwo+GDRkyD622JbaT+V
cRl/kollhE7rmF8K9JUA0zQ5PasoITVq4vT+GQmNGQcc3bXtkunJgflSeeoXlC9waNwxCgattYdd
hZEYCjxN2IAWTF5eNZxPT65eYbMDaBJRlLVtxEqS4g1byvq90AWJyHQkpxtzcUu6/Lmd5mE2D9pT
PCjlQ7ixycwrtHgCeKlnSLKyqjV20EIWDvhE6d0ZNEGfpYqqnkqS+rrdFU6NXPuG2EBvwlFuxiWm
hB2TiZhmRDzODlLlSfRKfKZXSTn3yDGq6e67VQV9qGkIpNVpaQylLUFHy2tqQmsw8vGzzKbY+51Y
8Ih5bkIpM9qPJcSo1t16DfDdndb3XfY+I3PQczzlupRsXDS3/64D/l0dYIoVGPG/zwGu34a3979W
Ad8f8kMjo7PVm5CafEFFsfb5/3sAgHfln/u+wb4PLN1lTmuDgFxDL390/G3+yl6RUh4yGm+N3/mF
E/WvuFFQMf7a8UcR464vg1sFChVeqV/8QElnTUMlG/PGjZRLAq9lMy3VNUR9SyHCmR5rG05NfWJs
0eqbWm8HOg+x2o4OfuXeUO3F5iBovBCNkl9rpNRojicm+4HRtCwbPUO2J3OwhpcuL2XYxTPrSQNh
N/AHj+2w6bIuxNVVDft+nPX73lT1azVEw6cFOOGEtLZa5/+L5Gjf4sbcpaWVH1xJ/C3xJgM0J9St
ewfOYb1pEja0II4BxoXabE631gwhaZdMECMOmIeWPiTlQnzNejyam2LO8/cWsyRFuj2UmObL6VMU
MWfdABzis5dNCVeB2JLcPdaztJBW6D2CE+5V/tZc8xJOYKBn8Ax2Ox8JBLGzsCznCdwFbxBQZ7TQ
aOJGLs07w2vqO9/K4vsly4dPLcFvdPKLLqQDyHCPAFCMD6N0DytUqQ0yq15iNJYdqA+vz5k4WhJw
PocF47Frms5dSIWLRN21h0i3035fRkZsuntMZHm8cyXMaMI3CS+sRJBX3nQ1SV6o9IARsHa0lF5z
dG/iNsGo7lheRYhf6hVawWLbFBa5DfRS2LPRUmHss9NomK45mW0+iRZFKn18czEYMZY9jzg/xlxO
zNwmySJ0ErO2YyqvqzGwFTBwvsx+gEpFXMmQhOwDjlsfhBr16GzIpIjC1lLDeuEQm7xgAQVmwKiF
RmnpkMt86jq6oeKqkx7cmXIjlRpGFtx8NEalv8QImozllcV1ruQ7ieJdSaIdOSVFdPf3gvd/GXwa
7JGYkf7Vgjf+4/RNqm/zX5A83x/2Y+pp/uYj73ORstPM+n7A+fPo49q/ofSHNY1XSvwFzGPpiP9Y
mwjQQk/osmb+cwn0fvN5OpZBeGeWLv6zJdD81V2FLhFLsk3aGVw/F/b5L7hdoyVDyextefAHDVN7
JU2qPiCz+Zl8KvuMQKkdPse2goIj0qQ/DmnV3SUNWauwxugABgwCCzrKOWoQMJXmJuqh2RjNFLMY
RVZ6h0Nf7FdH/Sb2UU0sSKevca5j3WXiEj1MBpMypxreCjwrMU/1MLSRDRqrXu6U9B9wrhDmVQHG
YEJSRGoNjMH5YRLG3rNe06dF6XevHPzyXdOJF5+QGjKEtNS4r6oxPymJtqsumcF8mFlHphtbRsDT
tZxqFeqart9HC6OoUmn+H8qQ0Lya2sSFy8wKq/XAMkKTPwf3MxDbtIzKDxZLZZuPL+qDCy/d5Cu/
fwoPVfFoOt1Uhdizwc/phs/IquyPS55ZgWsCk9gom+5taFCmZRun9Ev/eciWNg6qwhMvbgm4yGkG
P7BpBx9KvAcHXBDoE7WeV9ehE5EoiO1cpZ1PKBNmBCpUXzIuTlM0QKMyl4PMPNJUjSbWXvveBEPQ
EWm0cZhcX6SnfLFnxFU8zXnhehgiev1Flh4GpHyCmYCfOZk+eU2h/bEkox9MZhud8mRK3rVCkfdC
Obf/eH9qfVdc2ZKxF38ejaLjx6gQkwWugyNhx/ys2uN2GILaa5YdSaHaFjtHtyUvbUUZdalxiT2M
NMmm7/J8vEBfTRKykPR8OVBwS5MxCdFTe3Mx65oj3KJtKq3OT4tVHwdpdcQhZUO/69LYeGk0So6d
3sye2HOprLn3JdeC1+SnrFcq5NVT/N3KTnHA2PZnRG/FkyST7HPSyPmlbRJ18SrTf8iArO8S05BO
SA1qnjCHxOeoxeKVzSvWlES0s9bwY3tAL1CZdzajqpoPmdEy29qLoaq9LTD00FpbZ2k+LTxUP+jF
q3Hee5by9wWxmH+MjglBN5JlWZOqQ+BHGBvYJnZ+Jrrkmhc1z+X3ZCI7tWPgcbEoIxD+D5Lw222H
2+U+Kv35Jl3GPDBXdOHSieimdAgJJCpw9PZ65+s7WSTmU7GCD0sPbi6i+AQe4tSlpbfPdaE+d7X1
YndFfylt8cxWOWfBPLSrvK5fNJKHyCYq42jpYI87zi5dYYz4R5uAuRte9w9WI2Zu+Yldp75VK8pR
rVDHcZ4B5KSAHvu4Qv27wh+JyLQOi+t0DDqs5QRIBEpkjlQ0GFd0JCJTsbEZfU/Mj0BLjitk0lpx
k5VB/gQYZCCUVQeO0qg7hmdihVT2K66ybUx1g4ECK45n5mfOaPYtYjsDiwJp1Bvxwb3EYwID01tx
mAUU3z4cJ+G+DBjvbqIVnDnLLPtWdSTRzfz0y4rXrD5Im9kHdXP+IHAKHvO2fHA5tWxldMYrrrP9
IHeOg55s+2SA56nl1fIImkVwTgP3OZiNJC6jqQlXs+e90boCQhmgF+YWtN0haM2ILgBodlZokEi0
JUUPCMLIQkFadzGKcFjho2NEEZUQkfXs8/lNgL+UDEeG/64KnSWWpx6mB3QsZ0UFj17eMTSBX7wR
bc+sPHFr+NqEkAayMJIHBzYafZ4CCaIhy+w8YIklvFuiCxGZQWS56TQqkP4w7Rm1VAHCjTcI1u2W
zG4D+2jrXpFdaA8AEVj8YX0udPQnAn/dqujwc3iLpHZD3uuifwzrkcUcjwarknL66PVjZWnzLvqD
tnh+KmruUPIRdUym613UOCxaE56oJzmW5Kho2E9xqtVAhSC84X2tnWo/xSzPHIYNi9thNO7x2fBC
iCqnsDLw0ATFkC83oyAcD92J5ldXtu35qiSG+bCuFyL4etzpEpTk+e9y6f9SLpkwgv9lufQ8Axut
4p9rpT8f8+OA+NELNrE1IgETFF9ovX60iXV9bRMTzbEayv/SJuZMqIu1TWyBeCG/4ycPhfiN0Zi7
9i9WTxPb7X9yXPyF6EBKki3WnrGto0ZEH7bKx36Sh0X9iPM3asdrX76Tbgn0++tPxeP/gIz41ej+
6wv8chqVk1mUzcQLeFQwdG83vf+WDtfUx6T9/q9fyuab/JmEASnCA4HBiZgRpU03/Jeyb0b4X9gw
128yG8o91odSM5jyzIjPjLy1v6iPNktSEwwo9uJ7H6aGgU9XRpiMjMr3uq09N0Z4ZCXCd/cA28R+
9qr+WwoUIi0vHH5Xy4JY7QvFdysDMMD57CDcjR7mtttlq/VBMVq+zVAqpZs5i1oslMy04KN/OCeM
wdFG9oLB9Dt4ziUsQJZbIx5k4DCjdOuQN8H8N3VonWKwM05Sb9LHeSqY1kZtvwZxzsW4w9lfmHD5
Og6ptKOZlukAYL9gT2cLB7GVbjymwgGFsmV+wvrXLGeoN4n2eSQOy6q25hDDy21QkmfdFK2e6fTP
uJW/u0r/tqsEJuKnizd8697+wU6Laev6Vn77///vWssu+UfwJusi/cWBxRmJh/44aNm/WStSnARg
G3oODIv/Xjw8vFSGTv4K9y8n+g/l6Z/yUtP5jZJVZ7rsMazhYTzqR7PJ/I1/StyzwT3/3dL1HzSb
XPGrvJSOF7ebT5cJgLpgmPzX9cNdTQIYF7MDhCSowDoKGyIMFL6O0BgkDfNuaES98YSbkJRpzLF1
pPTxSQRe2KoCY3RWa8HCjrmt7TpumWXU+khuOuG46AUSU73DYvYuDLasI3Af/Vpzhx87q2ciMhvE
/hbsrBzgdFIORia3lF8FBx1GYN6FNGJaT8zBXxuxkAAwZIq80LHSvYueGNYb1Ev9ymlFq4K6ih1n
09d0dfYG6HK5Vbm2PuQjXCJnyHBrtJ3/xHmDFx6pcHArKm+6jyfbfypTfbqXmWEeo3zNETGbySXy
wajyGs6qrL2T47vqXXlkxRZVyfCeyEgNedJHWqqF42guJgiuee/zMRrfkmDgjJhMHN3UHzgxkz28
BlDUtdYfzCExH5fRm24rk9wUhKtIeJ1S6dfYWEOwweFET9lHIi1+z9WH5GcKRwoGoPdMpnwD31NW
kd+/mhEugM1kSv6ZNREPVta2/TbHPG7Tx7wBWx95t2PBqwkzRrQfoXXD2eswOKFHx6e21iwfLzeJ
WckEn90vbBRh/SjMq4PQiKhZN7maOQgHEFz6Ro7pdJNF6XA0ax/TaIqZCsDZ+n06H8mK5VQCxuO6
5v98/0ELATw+xOTuPxn9+gszZJ9u+UmVenEI9Jou4yrIoxVoEBAC4y9P77TS4CPUc8azQCPjT08V
5IHYRU/0EmyHVbX2EdsxkvFr48kha3pPuwlnc5OXCWMYR5E9UZQLRwxaVH8k0ZqtK4bKf2L1ve8W
ZaOMSBwrKKI0wt2jsjtEupySiqnVgkYvjYcKFPnrCsrlqi250HNEotEOjC7PtEQGf7oJUzzeCRcR
YzPyuJ2VKeR2A1eDIRW/rG92hHV/hFaT/kSCCpmma+ZlrLj4NIPEimhYgdyEl3TvIJXAAACVIyJ3
bLkJXX/iB66RxeHS9WPF1pA1QLyqDHJZkPtUutuBSxSTB7flpcaabB1cJi1HLcPpghfF5H2naJsY
mQFkuTepnEmLHUuumEjviXiZVmBLBUiRxL71Oplp3b7260/kmZ15LG34jZ6ueDJMGOmevE2ydy1i
5+Zh8LeNpTevEpjc08clnGrkNc+5QlK+3uyrR+Q1cobpfsSZ2AcfYVAfcVq4hunHJoxCd2uIJxRZ
ny+uI6bDRDLhccH0sOfOBaZoroD1luDgme5BpPDlzYD+9nQuzWOqp+0rWnV5aFGkJ6HTO/oDCrXo
ScvEAG1VZSSDZNQGIDBcbk6nJhwKCWq6LxIbIRIZ0nwcQWjM9+jvdX7L/SAEF5hmcpOrfOD7iRB1
PwxGx6cmMsfYgBoyiYet/ctYF/5laR1+wu4jC7NudKA0BaBOL+hdlZhUEmsskSaxJnIuWPxQkKh1
IKpF7Eh49S92O2mhicdKAsvL+bwmGttxt6i5T7bERHCHcSDiDS0mK1ZpYDW7n9WEHTYjgTBFI783
sZvdI+yzjl6Vkxhd6gXPYwFKRHbLISTrwBoKEekPnd30fIOlNd1T1/GPDGCzr7mI2oOvq3gPr8R4
cMlDuTo52DloI8juPisyuKzD1LNEmnD4L1Oec0VpPniBsAC5/hCJZWlOce1CkDWrEqkaU9F0D18+
3feWQYLMMPIrFema25aSErnVifUzA47rXOAkS/GzSkWSvMDgTxx1pesPxOHqD5kNLjZE2WQyUoRU
CyFRdQja1izXkT6eAxi61a/pmthdljrvJyNBARaAv145rl7UM1ZWydMbcaTe4xzjXJrYXN2wTh8w
vfpPEr5fdrawcR1wGiJw+LjmLQPXUSA6PnNgAKk0+TUdaMHpQAoXDT8+p1iXvWHU2w6Dro0EUKSK
9U2qzgvpcqzXoz8Tr9O0nv8EF5gf8vuSlik9LcPGHbmUkGvL/pgRO4B7b7BGieZC028th7urKHI/
o6PA12uSxv1xx5WDZz2h8p/gM7e2THYfKyuhs7oDJ9Nrn/TUrCrEyOQ5P9uoJlJCDNZVSh/GdG8l
nf2GLIoBat+Wd3rSGwRzV+8gcvyjbJp1M2jFujnDAYfnCa/wOi42CxkjWe5gj8YZ8uEEdHUCliGZ
Dyw/ZjmGetxTQmziuuJQ79SLfy4r1QHxdKOJOHmV+sXdkjFtFyk9vgBOZfzEVkpwWEeH5WRVgrsm
7yfWWu5JtIosMTUhcwZqCMxpzntdlU91rMsTU6hejJsZYxV1iCkfDAt6lL9uRMqpigcEBc2ZPca7
ZWIuIu7dwYSCTBOk1fXuaguTpFzsp8GAhP8xdVsb4msVfWk7Y6sZdctoxLcD2bnU3sCkx01f6qU2
HrpuPqqkb85u5ssyugXkUwfwo56BA+2aRrU7jZbrLeK9TVa69xGTRPE8O0iG2SfgNUVHzMMlqyrH
CtNy6OiYzOnCRkCOMRxjqdAr0yMCkm1lAeCq8qBDfUgwuDVeoFm5ucsrY/CRaC870U/jCQ1nngeM
2RG907tN5t3sYFA4+FyWMohVj/DAQMF97kxr+eRNnXtSCD3viKVHMDNpBMKUo/5o6QNsWIx2n9Il
906uEXH16hZFSeJhYfayhgZMMxFxmWNBkghBb1wzFoh3NXt6K6w6e5zd8pFQqLa4FK2y7givAFjd
qdELLKaGO28whz+ImvG/JhiP0CxAHV24yLat7aahR3trN8PeQY6BqnKe8EOUDPAxxVuIaxhAZjee
TLL5hu/LeSeeqtotPcIioI1iG6fjo+8Dks0hp+/daPwyMKW008z9GrfTfJ/YcxXqBdIAM3cZAnS2
vEPanFD+VAgIp3L6PeuNBw3KEi5UpW68NFnuIMzbSAL7EiePZu0jHz0nHVZrG7fqofV7OAXSoTLa
qhILEqFeLFEk5QX2mDTbmLrh1JdSPxnAhg62X6tj7vfWpTbh7PKlVTQxW9pJDj3kqW29reaTN5+x
Ym24QvJbFF9kyXsnbcn1T2wCWGSsodqR6+YcC2hKd3GNOwb3zcHQlNwjRaBmnZsBNqrfH8g4ADFK
WOmrQvwRZrA6MEjbd31aGiEQeXGP6cG71HPRPeLS1y5z2eAX1TyXx43Url+7ofCpSxjlnbqpakF+
dvVLtrI5gXBzbuX6NvIHQ0bewR1N7SqcVpDgprtgia0dAlqwOHVe4kN23TctL18mbW2s6m5R0s+T
aqe5XDYIdhHwz4iE9yLKk8D28jZg8UffDIx2H8VJdxwq+70hnWxrdPoY6I0o1tVKP84Yyd8iKWDj
MSCeXqya7CBSTKgEU1GFcy7ybYcw9iFqWVFY+SUem1qnD5oaLuNOAAplUsyhMmZE/mOhjxc0dS4M
A7NfLRTKQVPVhp0t7ocxL3SotIWE6eW2NDjv00hHU6Nn5Yo2WNQQv7P4x7skM1q02ZjVInDQDXjd
aAHlhqJt3zmJxsIkUwcJej8+abkyPLa9yHAgrOhJKNGZkMvUbl1H1nATuS9SbPxPWF6K40IsAmLm
Od9BMVvo6Ar+M3PxnTL4fhzjyeMSJ+rP0k5w4Cj8WEhLKDzkvseXuC2vNJ3Vswar61xK78bJKxWw
eUWfS6xPWMKQmm8IM46Q2rXtnD4rp+nFscyZFJy0Vl+M/sCq5aPLM/sWZ4O+SrhjDm7Mlzt/pJrF
Q7aZ7LT2XqO2YFGPsmxsZpbvGSI94zG5mHsXaf9iB0ZhaWITK8BljOOgYZivGOLZdQ102k7gpZ7J
wHyM7BJWmuT/54Q8QOi0S3LpBsgecmv31KCAAijAqxGhMe4Gi70pbZtiPgl9me5nY9QfqEXRlCNe
vsXqSH3204n/f+iM0cL7uVtlcXS2OdgbHKANl2P0f7F3ZstxW+mWfpWOvocDw8awO6JvkMiRZHIU
RekGQVES5nnYAJ6+P9DWsUzLUrmvqy5ORRyblZnIBPY/rPWt9Z9/N3ob4jAHOJCkh7AiMikoKjZ0
7xexDN2TmBdid0UhqUaq0iZJ3FcZh+/P38CKs3z7DjwkrLyRlXdpvY0kVrFjVIvZRwd7IjLLD8su
SoJBGqG5Bj7FEcVmWO8TK4mji74Ol5Ipdheeo7I3Hjx9MM7kS1FV/vxd/eCyMO4EiUnZzvRzHZd+
f1lKawiJBBPRodQo/cCsT2iqkoqadKQ5hvdlUvkMBeGUgTZG9Yefvzqb5r9dE14eP6/HtJaL82aG
WCJuh4+OVMOeyQY/AHea8WF1jVekfCHxjIYcfLVnPWRuqB2NtfwuBRkDRE00tXktnJkRva+TGhgf
+rWDrpuoTL8CKKaHKZH6/eJy/eBLXL29touYknHw63j5++s1SgwRlublhzIcWevKeRq6TexkNUWT
LWHvlXUB5GLqmmeENvNd0zOraGJ6+aSa2rsCbcovLuEbARK/Jxg0q0bEEq7FMv/NN6jZsM0G6gZ2
tqysgZI6UEsYST12jHg69lVr+6tMMrfB7VrHGldhUCpk9nsDLHay6bp67cG4sj9/Y9aP3tiKH4In
zOJtFVr95afljjoM9baJD7UDFYFSk94LnL5CpTNRFVldeQ95xhPHuaJsDSboV9lpFOZ4N4iRVJ14
VPIRZADdsniti42eNlbDAb2NxEL5nkQIC1cXGzX8Ousppc6drRUh05LMbSdcUQwGP//elCaFmu6G
ZZ0ClHNNKnKYEBrE3ny6Weu452QNjC6Xjo0TxruaDujnl2PdY7y5/TGes17AHs4IUYo3D6DYwOiB
z0TbW7HNM9CsFiJHvWFtdcqJd8+DX17iYRq1+9JcGJ5MRczbmsklup+kw9WKLECPeNw0grtQGfF4
FSb/dwLXE21fx0OWCdDGV23KlAagGAm/FRTBYoOqdYy20UhC/DIXvDqJqAxvgDaN/EJoCH7fDfx3
Ev2rSTSnC4+wf5b7XJN88P3yaj2O+IM/5s+vSZgr5gs1j70CwBhNf8MbiN8Iz4R6wNnxTfj4DW9g
/MZE2FyhCAgR1wTNP+fP3m+rQYGfnGVSz7Gw+TfbK+Pt+Nkljws9ke0y7GaD9RYAFiotIgDLto/w
sWqy29IlI+2oDk/4I8YNeBgWy6hqdjXB0TuD4OmTxyr3gyQv551dMhgWTtq9hwLUvY8mNtjfXcn/
4ITn3Zk6H583aFqO8/ZBKBERhIaS4piOonq2Y4G3QI/Ly/I1eqtB5LaXtT5uurpCCfTz1+b8fnN7
s1VEAiXYGbAldF73A98fDCjpGI0PSQPSNHwqmpD5gxoSeZVJds0BRif3EkYGZjNr9Z1NQibvDObD
H6elXD67rwY1zMHWKcoRh2bOkO/7Vytb21TOrftqcCM+yD6Gq+vNqK16J/Ra+Es7hGgsC3hsYuyK
6xj2ALJwYwSp6FEdoiVy3WAYFkTZ3oBNyrd6Z+K555gfILtkENjS2OexV124q0ePFcpwh4KgpJNa
LXxav9r5okbKeEPYNc396vfT2lbbQll6GEhiyekaGx47rlOXZzyq0VaL14qzXf2DM4/jTYY9wE/p
HGbixNXYgFpx4k0dk7hVrEbE8tWTqK32RFulIXxgLItEhqLSSnTUC77+6mrkC6Aet7J5p+LcgbqN
IEcTJts9dsHN3drm3epdkhgBCAH9Q85qjnrO1dvAY1yyVQN+h91oTQBhE26lO7yAEVKRVzfmwqTl
wRiqeFv2rhqOa7BYhAyg7O8m5CnxxrAUyKnEIe2VsVXoEXLYM4b3bYf5z1ZEi3VRTi2DjihKTEUW
G20JoziMpHWqiYONp4zgGgJGfGXbT246e8A5nfImK9sJtmoDAWtAAwz9cTWrRvpk7PQ0bUGBoEWZ
GdrtGYPib43NcUeMM/afcQy4U+URVXJxt5hY+BnI4pJdVr+sB3DhOYbHe1hWN63Ma3y1CaTnXU8J
uvhuimB+wwBrwoq7unJReBlgkzwCWjwjfITZTReh4jUwxLXjL0Lp47Xx6vFNSrf4wkmXVb65kGLe
2ElZEEXEGsOfX23CGOCxDHPv3cevuZTD7yGVaYgo9R6zcDLVfuOW1bgJWYlEm3QKS8P38Ll8LlMO
Zmwzbbo3dVx5jEMLwx8z0NGxTzY404yukW3yzDo2B6lQcgZedx0hAMuwWEfYXen45GCi5iwFl/S8
aBbROKEcppa7otH6lzIc0jxoZd9gzUe8lGz7oS21LXvq+WqcjXLedDr25+0wUhLfzxbpCAcUTQQP
amG5zgTLtoiCdoij+iMLACwlsD/XiKDZLpnjqEw/IMaLOQr68rKNVVIHDUOs566i/FprLvwkkBOO
zN2zO8yW68OQ+Rwi7aS8TpeB6KehaiRmGMmrtetnI8DUvodCbihmMF241kaie98nTooRJRl591OE
ALip0PoRG14zSrCrDwqfGBsNe2TUECtu5C3xvZPmD/o0fNLTdtCvSAy3yYwLmfdvarOunhnqSjtg
rogaZ32USz45kx1mLts+fZX4af14nhJzecw7SyPnJ1PWAoJtCkk+hyMuhDE/28NAs3/yxkTnv7JI
YsNFMG5EgvRhY1HjUwnsIekQWdrlMzz7gp9Ou3QXVbs456YzeMf0qJWGXZ+ebfWx1PsGT9Q1O6Bx
Yi2QsKwHCD0xJonoAyo4Ln4CWO+6tXNAauwXKzvwmMAeSVZC56ePfVxcFhoRPTwSAYb7Jm6qI3Nr
bzyLBhcQjQb21KDsWvcj8wCFKDFpgcvDbll5Cp4z6z6zHa/148ZVHypIaOfYmSXxZw4m+NDTSc1j
QLPNVFd96oz+HRJQ5zgy7bJXKZ26HZzcygMNlO+49xj9AkFG5cAwsMIaI+w03BmI4q5ia8QSrWm4
CONcMS9lzOqwuhrsFwg4xNONlhHvKgXF0YTgsMkNe7oUOYJ57IgxYIWl7fy+YRAxNfhZtt7UGhcW
/MmjZESEKakLUV1xzix8ZDkHQjY5CsKmcE2YXB30BRazQKDn3i3nPXZw8O3G6KRtwHMcofpqhJ5W
S3S3mqNfz9H/Fo6/KBzXBpzG7Z8Lx8cvLaHR/fe14x9/8027YPxG/4cHBdLVaxH4Z+3oWr8JmkMY
V4JG7PdI12+146p8svHBrDORP0RRf2gXhAlrSyLqFsRmGLot3H9TO75RPpmEuRIMiw6dTpWkdX39
59+NXzxjHBbmTfbBIywQJGCMozLi8PjumvwHJaAHnJbPKNB4SfaJb3M+QhJhTKuKyMtKS56o8CKg
H05h9XFVfd4UDg/gnFqFMc9CXfrz116/r780eOuLU/15uuSy4Ql68xFjNAATcavyEAlZZZhIOhWM
k8Hr2np2l4Kdfo5kUUsQUIkVdMucfJk0Brxbp3WsIG+NxZ8HlnD96OXsULTmNKwY0s5L2WumOZlL
/dwCJIoidOudS26ok6vg/+NDwBeW2PFo2c23UUB6Cy8BAbk8MDk1txM2ml2hsZZMWFu8ayzK59DI
2JBrBYJlQ3/d6g0e+WgRE/g+kdMNUWpIJzoss/rISInCcdmNHimfkxwzdgtM+opk6NnmLz3IG7i/
vxi0ve1S1u/Bc2mSPM8jI3O1hX3/U0NHgGTcJVQOBLEKWiJnid5q5/2KNPj51Xo7vXp9JUQ/tkD7
Y2N/+Osr2aPREX3CK40sWIjGZrPbO15zanurudVtttg/f703NxGyJIPfNcCbdceO42z9BX53E5lG
V5aFlvN6UdLe8kTpgNVQ6fz8VX5w/cSqUlxbTQ/I3pvrJ1seFznJlYfWZAjqcdVqSyaHrPMefv5C
rzPXimEEObef/+//5qo5PHuQVqLm57nwt4dCylhIKn6DBxOl7nFxO3MbAybfzzNf3FxYlFZGjJAb
cUJ2N48Ik2r4YoFIoezESG8vCttubtt5XR07ow0e2EhYT4+o4Q/R2pdWOSdYwm/zHSt9CjsWOgSa
RKli0C8iXmSqhbml500Onel075WzJIeff0jr1f7yl0+J/MDg0cD0h0mntNfB0Hff2loXgW1qp4NK
LRKCmIMdEUh0YGDajAjmzgRaW31FSK1BbMtpAwj7OORFOuxGo+53Wd225zpLFHqLkrA6p9TfG2aW
nG05C7BnRfEe/Pa2NZR5b8hizQVmQbJpHYJlwP4SW0xdGRCmNb2Lo9IMyiiZ95jcSNOIPvI4yw5O
b9uIME37MCZVdcHpEh+KOkRhTqbeQSvlDO0nKbaIuIx9Z1XeQxva6THVGCGVuL/71fD3EnPwbArU
9kdRL+N1zZKGcJDFFZeF1+T7MXTsbT2aAtllPWxQflSMl42IpN+2yh6BJoFWhilWFrN2bcuaHNOZ
DY6Xx/02ynprb4ciJWrbAaq3ZLUTaO4ibu3Y0h/qoSveu6QjfgV/UAFr0yVropXWDD2XiBwq9nh6
cul2A7cwUVkR6H1MZ3zfCPGdawfkVgBMAZeBVSTqeujL5lOZruKGpttqhPYQhZR90TLNu9KwTgci
Suhx3fZUFA7v2jGabWbK4zRq5RlzNPKPqVS9H9Ek+4QMon1NL9frGUD0hvktPc3vKrpWo7A+2EiQ
0ILF+pHE5eJSgEJ8p+UZFSvm9OVsDBr6lnk1l+ucLxiBlLWnXvSOwyKs5zZ0uhtIM1157PVBbhq3
Y1QudmVc84sYc9axjWU9V01b7bLYRLZST4iCyUhv35VzB4wFBDJfDdVvR6TFQc3DLo6tWzMENcOz
bTz2CDLIHUdvuCIIPlst33nrGPXt3OZXSQgKnVY/wwOUD8EQAqOJC/qtVtdPtYlESY+IfknlFN1D
xbwKI+djTF7OIe57/S40iNNKW+f93GfPZlGWgWo72LapgzoLmQXcpta4dKdBYaHJyHsZF5AI6OL8
IUV80Y86UjY2RTyiBpaNRZnSp1TTheZFcp91E2kOmhd+0Ni082YmMpJMQHFxtlqBWFStk89RuQHH
UMYo2XPKIFUJG5nIMfcYJbULe6kqqI0EV7VYMZ5BLum0G51L7z/bHj2FmdbXkAL5htBCNxfzbIhj
XE75wbCI3XArbhdHmytICLIxl2wAVmjGPnvoxl/6ONwQBVy+tKOInlLEXZ8dt5ufrLFVp8LzxmM2
yt5n5yIuW50kjqbPyMkN9fE4GNxf2pwhGsznObJ8PXU7A3GfdBeQvw2pnIUeFf6kLdM7MQJyt3Qz
PsK5q7cir4DlzQyNWA4me9JoyssEGxsgEkTQ8ArKy7QcsjpICL84MS/LAodcX/Jivc5vOj3bhek4
Q8xpVXXW5ygPwnWmtox0R21FVnVt4rdIIk4OY2FKAoau3uqjMrd84vaEd8fcKlaj2FQQcuM46t4v
Uolrkxv1TGRzMwTALTF06XU1fmFCpgKyyJYDhMz2JXZZ29L7uY+vvTVhXGwNdeqLvKpjYlYU1clI
yQedGYRaJOnzQ+SBjT8YTBuBT2d3eSSapzS1soCwXRUkGnWhZtfzPs8M66hwFO1qtvKPVd/lxwYw
2udFiwkDTxFYpKRJ+U1N+eXkFQMHPEiHebbqsxUv4cntWk4uZUG+w3wC/KAq661sRz55lsTXUkd1
Yw8WKooeUAucm+h6cWt6ebxm/I0pcwYBjmNvhtbinSBOJYBp7PlImkOUV48DGZhUltpbS8b2tcGD
gdCTLtnXvbkcdCSoG+kO4Ylaxd7UZJ361JHtaQS+hz0snr9SA4+PCSvZrVWZwBJh4QNVsAXkUr1o
9mGp2cSiVNrdzAuw7ss5eZfQRdZoz7H9kRUvqGQGd/2d7rLuogOEJ6mzQ28BUjzpnn3RYZzcu2NT
7bvUhJhGvWhd2JO+7xseCkY7WDiZGrGrYwIgisx0NmOe0spaYYxCbHgwQs2EKN5DVswUVLdEv2nD
Uo5M0yKiy+txjvdcfjd7aYXXxJctcg5sczMBCQgfmC7Cz9KD1kLqcCnDwq55soLJ8smWEfF5UuZU
LMfX4/2/DesvGlYWF5IR+D83rNdZ/ow4+fn7jvWPP/qjY5WCthSHDtN6A3qCLSl3v1l19BXc5Dgu
RZNurp3p/6AdLHf9J7SzfyRM/qm0p5ikU3V4kfXv/tWmg+aUouy7os3ABLQGVtIHuSaq77elfTtm
Xjlxsp9Er4EsEfmuR5WxozfyKDrKuDraEmKBD9B0sbdZ6wzaO7R66eecjoTH6cTEColYUcgk3GsD
QJ0HkgLyC86mJL3pCfD9iFXO/WAvTnmKjSi/6FVqBlKjOUW3mxQnTqxsBxISdvyY8lSuGw15fVxX
DCmHetkXs7GPFF7ZaInNGn+KauWHMZkt70DCCuvovpkhzakJZd1s2i4SJUjFjIx6sbWcNexIRrXH
IHXNQBpe45AqKrFoV6/Rk5doaeI+2mlQ08Tq1UwAkhYKtYc6k+DueO6Oqm6pzxjv+LjxxNgM596c
ivBAljD8oG0BbV8rOLuFTeBFY4YSfHE2IPw7eybZR8oPcdQAjU/mYkCVEtKSkuA8jjwNjTg09Bel
8o6Y5yxObB7oyGBs6vYyrcJsUwztos04kpFVrfe3VsCbl4KjOPaWRhgBWCCxbDJnjJD2YJI0Y/A7
XjpUS/oZ/dfc2dCYiFO3qV0q0PeuCV1qb2ZT2J6xUGtHXcG91wn38MnitjAQCUh7XVweY00b9xH0
involJAerU5f6DlKdWvkyt451K7PRJlkW4X6fQOdOcY7jNwQDFd2SQqDta86URxpaoZ9Vo4N5XNZ
OT5P4+HojRMZUXG2K4qyCtD9R9cIuEuY/PkUOCBrAtHb7FIc6uZukeFtW6jiPY/unizGMPf8RRvr
6zx13mVVEd1a6N9uFLzYW1IVxg+gMqaAAFLikut4uuX3UCFSrRJGuVN4k5vVTBBDvT6Dh4FzB2lh
gGHNPUuZhY9xPVmHKXa0aw2VSO+jlQMR67bWZUirsdfQ/i+BQQrL/IiAlizyMHfeNY5R3iOkzmh8
wjhC6Zc21rRBMepOmwrdzbFsMdT4su8KmKplf1RslPYqz6JHCxP9hVxcpEAGwMcHlBBgR8Aswm8a
IDl9NZSAo8m5iHCSnrOkCq+YoRimfcMC0j22yn5IGzfo0kFYvrAm99LADUDue7LkJR7hYbzGdmFe
EPBVHfDrDdjBZ75r+CbtLSum8rGljKQ+dutPVG7vjYYIyT73vBPfdLHFzS02c1cTqIqh5JZaPD6V
YmofIhrQpwEBcbFaWs2XtGr1C20pmT03jeWeVD7JnUjrL6NswoNhY4olTAXRQuim9zLzhifdSfP3
MxuB95bqkzVgycveN7RihANxhzla3+6Rp5hb6ap+l9SE/lRk0cAoyPdo7YjKk6V9UlMnMfuTwlr7
/K1GUmCS+Yu9sPJjkpXclGE6nVCWshwh3sziV4wmIia+FhZyr3WB0Jp5W6mB0L4QRzfXpSfiI4fy
qekbKGrqVOmyDNj8mo/C1azrXmvfJUt7n9aa+3myCYzydbmiwFA2g5U06yV9gO0iLgqE+5d6z1qA
lXAYuEl0lKJzr2bVNtwaQ3e/kJIS2K1evTgDcKlaLdWNFcrlU4N4pfENaCvgWlVNIE4k3kWxsDdO
g5fXV0Uzky4poythGsOH3oaURhAJMemFTutoGAsLp/YE3Dt67qw4+ZIrdjvd2FxC4FYrdXMKADAT
McIqCvaxi/RvUmq+NCdAziJzaN363tS44/Atng3sALuWdQAiP92rbrMUYPmm7g20Kas+euwS+lBc
K0wmYqIFp4MJEOyuUquCI4uUdT/2ofcpU0x2/CFZ9euMXyRBAPF8J7QQ6SeyyucBY9OFdDC2M5hf
7VfDamCJjDKkDfBiYLRKoPRdVfIzcrKzSxU7+9BY0XpbqCGRmMZHIBbIQesZS5bGPPJMuh68AGVX
m16fXhrOvDtDOSuLJ+w2/I+i+EuZVCBRldRwYrrU+hWC4NXgs6rW/lpp4nNSN+al4Y4dUSoNW+Zc
ptsGLRI3OSkkaoq9K2ll2WWsE53IFvglpmYEvMfOQUzTu0pv74GA6RsPmvKmDFl5JQAddglaiL2e
LPK2MdoKXqlJTIvoVHeItPicZ2O0E0MSBm3ZGu+Txhb7FHXijvv9JV1K764xQejEbDYeIhdrvBG3
9UmlWbFtGV7kV3YFc87uyvGqKvXoQETyzAypcPq9QPZ9yy+X2YYu1U2ChuhzM6F/hEhi5JQ9wnuM
HKIUeIdzYBLPw3SkptbMM7u4KULN3uXmXB0NmHobHelDAJs5udRa4nGcsqz2/TANgRim/gNRNST1
elVJ3k32se+MT2lTZ1jfzeVyVEUECK5T8Q21bkFUVEXIc8H0Y7am7qsB1HA7gKi/T3UGK69GhCpi
VS+Q/AdAI8P7hPHkGbVCv1fSangX5DCNETOobbpISnlBp7bR2lg7KnTiiUDSW6pPLdEFHwn3HXYR
BIDPhUeK5LwQ3MJj72Ps5V/aLOmOxIauevssC/A0uBzdrvRn23aYIPXgv5EnBZgEzR0WHOOSyKP0
RaYeA+I81vZAPsja6cL8Nu1zC9F1muzAWDXHgYJkOzTMNy1RrTHLVF6aqux9ZsbjRVJUOffRhIa4
N8DL60iRN2Crxq3lduVLb6tkw3t/SIbI2Axz7Bzw/DabxL5ahKoPpSigLdfS3FWG/dLo9e0weJQO
ECEZGyx7HtEkcljakwG4049jJ9kl5H37Tg64NtOrs1u3t67e7WXXkGdZEEVHSs265L7ztB5GCMCp
HSAwzwfmwEgvKbEdwRzsljzahSK/sgpNu5Md85bcGeRBzCnKaau4BfVwg9I43oEbARtdYY908hnm
zWAEIEPzfQeCMegXKI0CPr1vx4OxL0dr4SHsWtdaP5k+z3b3oReMMZc0xOVgG1+a0AEmMqeFnyAC
9/Hn2RxkWcx5YA23yjTkS1LMCJg1fn5Vpx0cOGa3jkbWlOyJKRvtNZVT1sNxKlp5gLrI4DRZvFPR
z7d5Yn8kf/vdf3up/4R6AKxgXRb9cy91F1efv/yvY5c/l5//0k/9/od/bgBh4GFSRiCGP5gF2P/0
U67xG1xNobOXkpTmTPy/7f8A5ZkGDdaq0YSmZ/KPvu3/jN+QTL+alqmY/s3uDy36X7spwSYGfALg
AyF4X9ZblXHTRkNbSJK2NW5VP53jijKHZwN2FYnS37SfVDGOV2BvMSsM9VMe2WsBjhKiGnKK/SVm
sETRzF1RlDf5oD8yCIs4yfIm3VVCecFCi3VssSxsxKy5OwSQCg+qe65heDCPNW7SSbXP0iqu4KJd
WZrCOYeErUe0i1BrJaKPgwcbh9gBfUjOBdeRaWpd+kRkNL6ueZDxbXQ9gOFAmOs3jtFZvmzVczUp
khqyFvA0tLu2T752eZoFBUkpW0whZ9ea9gr9JRbS8qvMyivgTneA/yHzJ8MOq90VsXM3RL5c6NEa
sJBq2LWS57nuq6BqlhebZ0s+Gi+V6zw1c7fjIZhv2iK23oMUAlXvIVbX0cFWhAABN/LORm89ZWP+
7CLD3+mRutPb7Gq9An3Bok5k+de0Xo2SJBDurHymyyjgxQ2Ryz2vxofIUndr67vxTCc6trl8gZoj
90YsDljULrLBrI5Ljm4YqgIXRtdRLiQnczWmTdn04FC0qFo8xVZ2QuLx3DYp1Bf77MYWlYsjuq3g
A5GJ8LXq5xuR813NVr9rZI3kQaxkJkaTE1oNYpOoRc2KC2XGoPWZPvU+AsB4m2Sy3wzaWKGST0i4
0dZrGRfPnIbK51TI/J7MA9YMHXZX/gWtWW4Y3d70JtDUeLkwPBZz2qhf1C557UiLvlo5/5ptJFdZ
Nl2Q+cGWupIObQKfsBLzI2xjTp7eyYNEWloAux22V4LKKmYEeNnaKVT05bEVTUjxPD1Ajw+muVSb
Mm57DC/Jc4mUeQtzH0TtcjGa0Zrm0iYwAd2nZNI/eY11LVXC4FAZxBj0B6IHsMhO48PS2Ac85D0/
VOsQFXxHUKoInenHHgvIcoE/FmQ+UFnwvIZ1wvYut9PS01KahYWdVn8sI+NF0kT4xUSOfE/KJLXa
Q9MOD2LKvxZ6CnHZIVd+KKYHKzRiMNV9TQVT4bt1NJQfRkLFt153o3ToBMUTM+J0h/AbkpdwObX4
Oz4nIwCXn6LlPCVuO3Oa8HPUDHBfFMofgSfLjZvGc0BhMt5a+MiDfIpCKkbK9hkt26Fx5/HUVPZI
dJbjrcsUgrPjOd8CpYf/r9XzTo8hGhZx021MLbdeoNN/nMfWuTQ85Pf8aqqkEQEZAnUasAezAjdb
1HPoVqxh6P9RDKaiKR+zMnwsJjr3YBGdTPyCinaKwzNB6x/pnMZNNuVb+tx5Qz5CULNz31L5Er/Q
Og4FbILZ9+RVrK4dtznnWnxTVuTYEVv3WGnUlNj4KMcG+3kq5/alLE3S1bU03ubkWnkuwLZ6kc6u
4FAOqBLDG6NnesmMgpVAar5URlVjfygADo36xplM0itcDmjeRegPYMOBeBqQKRHnXgvdJfvF5Ec3
Z+6TqznErzfqGI7tV021F8LJTt8dOj9QV/xt3b0mE5OWhotmnbC9FfQnqSMG2JK0yqMG6HxoevzA
0zmxm6slNJxfaDn+tobm1SQHGhNoHaig83YNLdRQOrMLIYtbnT1jdjJzCx8ghe8vXumtB8bz1vEj
hSyWDhO59JtXUq47WSlorIPJIgotHNxkHsepoVgYozKjlMcXtfv5tZR/OxF5TVQ3DkpqeDjueq2/
WwpHViljD9gxqgE73trd+FBN3Nga8SNKs/PN+nkhKFy0HU+3n7/034wZr59X4hpZnSxEMLyRLWAR
UAv60/LQFa3FnqJgQMhcf31cXKRVmh10Ob2obkJoqkhVTseO+1ZCXwQ0/RITSRqxeh8ifCRI5g4S
oscGEvjW9NSFgs3lM6OtN4wpSEZKrwjhwKA93k1F9KjbMaaDSZwHYKmbqark3rar+kNE57ARHo+H
n3/SH/yEkAPpJt4TBEzmWyWImSeyqExRHmKz24lKv9HlcgOTsfnFFV0V9t9Pi6lvJC9EdDcYTIQT
b6fFUhnexD/ktyrBpXTTdDPTRmz1nIdw6Ujia7zsqo+M4jYf5xu314vbeIWRiCX62ow8l9dSBXxa
Bhdiuog0lMZSDQ+adM5WO+5jj8e9XScFPEySL5vJnJ4i25z3RWTW2LVmYjn1trsrs+lxajn2BzMR
pz7xiq1C4nqBN/trmNiOX2Y53+LkVftJS7+G1fLoRcNu6Yn/mWrrgN/qgFU8IRFpecWqXGQuZhNz
WG7cGbEW8kFjx/r6Y0u0HHJaaqyff2E/eMIw2fdW3hZIU3g6f70rFpqRRsBxOCwKuzzlxMSTjUkr
NE5l/UKYQYX9t+/M1jmnPI9wCPutHa81Z1JMxFxiwB3viAs7FYAhf/5xXu+k77YI6+/CxYgg2FYg
ZSEz/a+fJ4kh1OW6Xh4qOdYANycojOHysj7pk8Wa9z3a3swUB6mZZxXKeAv77sR49T3BMp88hvSo
VMcWEURqHQCUc8hKnk71XFwBHPy6OIrU1DDJDrnlkIdlW5jf4bRc5omzHb36nUeADiMED0nGnMwb
2FvKR6nSb+AP1juzZRltsZneQ2Xu2WYnX21mhX6TZFfjlJ0yO5o3aFspUMlAmmyj3pRlDKtS7++q
0oy3wlp+5969TP8n+lL94IQRP7hj+S4wR8H70oV4ZY5991gszbqfqrkoD0ZOozDGRbJJCHMgcCjj
MyNi9hEsp0E+e+cC5T3c55a4aqO47lN+y2GGj5008J0K2T72+C0DzLdPKq2tACYSA9bROa8xaJsh
tM8xrA4GjDyJaqxppEDNj7qpXpZO9xM3ucePRlXV8IFbbdpnsf44U4gRRhfXeytXeEnUXWQ7q8qf
3yealpVnMCqyEcBnF2Eu96a9PMq6Ha9+/qv6wU3CmbH+Z1WDmW99Lipq3LxXY3lQ+IgpcTDTKd6O
0Ac/rKNffCOG8WYTtv6GPU5hHmuwlry/3ZONsGa8rEOJHKwrt4bTVYEXpqeQk0oafD8LSmR/mWmQ
iHXoCeuhAoxyXMsUgENFkmhVypph4NhsJXRPP1mHyOXsfWJbfMm44TqXBRZKSbU/lZWFRKV7KdLl
bsrni8JdD2N+ZpGVPYdqrVIBmaaLftUMyDWmytxQrm5BT3q7nq/0tb1cxGQRaca/SKDUiVE5f1Gr
cVeHQ+/nyBCOE9yc1yYoLKcqUICCT+WgHpKeRtJjrb1ZGlo9e1EPbR/heRcEZ1sjQmzjBgTLybKo
1gx3CPAMzqw8hkAr+P+E4/qDrAciNUTbbdfbqJts0NzqwYnWBsLONO4nIunyhmoJ+ujVxMg1YLDU
bVvNfmpSm1usD5tLaU8vbQ/cHF840s/kKiH8YCMnSnHcr09pPELoEXiJKjRbZXHSRmwfkOahgXID
931+oineFyEnSxKtoaPcHY7qr5CKf4zJoDhlhs1gegxYlc+btTFi65LsFTqhC/TAZziiT2ab/Oo8
dn5we1Pr2Ku2lBXu3/S5+UwgO5yN4tC58wsZIXc4Lc7UF1w8m9t6rb9eW+2qhzzboxdlbss9X8bI
RVWHoCDlz5rCCrK+TLeSYD9vbC03yPsIYIzplVs5DfMhN4hyG5OMfNMIfweysugFVpe8gq0QB0vE
uciIC7snz/LN4lpnU+MZk/bz42hRbumtVW9YjwybKSJ6JfeorCMaQzJAYqviC4kos92U/HVQUH5r
ggIgKnADa/dqHIY7YSOsqXJn2uIfQLCn0CnGCpYXwpjCIHLRruYXp1vqXQtFwKU7OGSJcx45RGgy
hweLUJy1mu/db+frf9UKv1Ar4Cw3qCX+ecJ2Xw3/QAj840+/zdi832z+p5i7/S6k5wf+zaBp/Yb6
m4LiT2nCNz6g/ZuJlhpFmGU5gk079fY31QLjN846m1tilcKigf03czbw7W9qGnyguq0DMfV4H8bv
c7jvjs8BfnfZpkl1mFiiq61E7MYUAmHYPia7ZYc0Wwx4Y1LvViYWLAEzKZOzcngIjmQ9eUhnBhBO
YWK9Z5c538CNLu/Hzgk/kv4AA26xGKS7arEPdbt66yXeggskVByeWVlN/4+9M9ly28i69avcdefw
QgABIDC4E/ZMMvtGSk2wUh36NtA//f+Bsl2Sqn65fMeeVNmSM0mQQEScc/b+9noYUzffIJhAqBmh
r7DPnPNBUYuSejGTjk3WTJ3V29qPMZ+QcM8pL2XYMxIvmRRfdc5MDknfJHepoeVthL/nLo0CuaR7
9sbWrA37qgkm3GaoQwpCKuwIXVs/atDH5eReW0ZDNk1rwVPrctu+GmZlH1k1zWI7ZnX/aua8KaDc
QfuFVxFYFGWBcTLoCpp5qiKIj1+cTd/wb3jS3AYBQVsS7gAQ+hCbnPa2SIjzrzFf+MEBMoDanXjZ
rZjj4PPsOqzAKVSad9UMnAQt2qjfScak74oBB4CfmuNdMKIFG7qgeKrwXN62sOWnE5k/ocNIiC7L
irAelHZZnomACKsabPEcVep+THlfNZsH65QIAoITbTIfKVRH736O5+qDCJW6CzJOMqTFNqbYBD7Y
N8RzQ7nzFOHADhPxscqr21TU/p2jo0UNAtn1oPn8dj2OM8KbY2YbUbTQVRiUjFGf4x13ivIRtJG6
N6gjqFKI3PUn5RxywZ7EHgNNDEPtEYKNfWVkoNnwqZa3aVPjZJ9lPhH/mogrRnfDGthIJ9mbLUcf
yPZouWZh7+wirj8SS1G/NjiP3lXmJO21T+vLXcxG+rMwckKO2ggOuhom/36s4AFN7MqP7FHh/WjP
eE79ET3C2untDzTw9CIcNhz4OZExvCk4SetUC/9cVbYX7rrJDK/kmBTxAXlbOx/xC1BMxUFnnC1Y
MMQYYqmEFwaoBTQPWPD2GDnQXlfhQIYynkuHcaY9Ao9ShrBXgs7QcyEmeR19w6TYF2aK+gZQcS80
lRDZK2gV43fQyoW6Ml0ILPUCYzEuXBZUuzBa0guvBXpwB7xFeUrtQrwh2DEDOlntVXuhvWT1Qn6x
Kg3zBVmUgy5mgcN4QWg8MkOnRZYG116eMzfrW/0ugioTLHiZ7EKaSb5hZ6xvEJowN71i4y1wGsfG
WhrP8GvMBV0TLBAbkL4R8kMTPeQcDi8xI+CN4UflNc7heqvZw5IFiROTlIVNLbGEQq8XDS+ui973
wONtPBULVKdsGuQ7HbSBCm8y2B3yzMksXlA8nNE0VJ6C93CYzBhaT99Z3WZqx0XOaybHsqOnOvnF
Qzmrc4tiAJO30Eyiy/FqiJNu6xFiQms5ItKtpOFuSOOzM7PSZAERZcG8HxXSxCm2xIrOuneDJOUR
pmS48cJhsb46L6JZYgi6ruMs25W3gzIfhG1bjAQohbEmQ9eX9cJcZN6uIFrs4LeQ/+kUJ7Oo9Jdk
8m6I8AxeEfUPh3Gos8fC5XCb9KSST0g8iZfX/Z3oAntXL8SKIY6mvYQjHNcK9ak023UU6Ww3CbQy
gPb1WtAPID21KSs4TfNrGSCggBd2O1fNdTsgBkbTRLcSKum+Dopml0A5v2a6Pdy6GiVQjAsRZ1+9
L2KhtnEwBTtoGAkjdkevS2HVB+TNwOb63rhKQKqepgwwWeeFHxZz5SYUVD6pB42LsMGSg0nZvBuI
5T6Yedg+0+9puTEGYx8249eucbP9BPJriyxYPPXCCj7YqUN4z7iAZHGp5jh9qDKOqP6H9GDn0jkV
UE93vo8giiQdKH9Vl8orFdBvGA3Du++qyN/HM1tTkiNybR3JyLV3Z4/g05q8MrgvcbJVddwyVK2D
F792eGSdPNiy90Y3AGkR8ZdpSW1CAtH7CpgV9kqK6SC21C4HSrgv5756rYgBesc43Ni2PYjccijm
G/Rk5YkY1eaQ27m6t/mLa+2OBl6s8MUD1GGuhQ9FLtS4VRsLvNSKcX4qrpwxCc9+miufHplTg82L
AUineNKg2bnoo+SAQsJpIdH1yA5vbEQeK9g6pIgbFUYoDxPy3qu89Aq5ACblCglAjXrwpa0QSnPH
FfUm7tC8mHbz4AZJeU+z37yxExKOVMsn3WXcBpLkjNHS5NEztLEQw656LY1jg7roi80U7UuXN/Th
IB6CeWyDwWEfdKergjaJjZq2JqzOicVzGXX9A4Hi6jPZceG28mt1rgPrg+F3X2Mg7e+BUYwrbKrm
WkvnuZCOAVpNEwdgE82OdwW3/1QHz2Ej9zRYPwRu90lZtbOfS9miLEa6aMfT+6mf/A02A2vjec1b
nWNa6G3zSGBIiqnFqr6EgYcCODHKjQXW6tBbjOTW1jxJBhSBuMvAYW1TPaT3hXBvihDTNS2+bpu3
FqoFQN9xux6iZsA5R2o4KdxtsK1y/blLoifGEBylOF/QjSEuwe4BhIED3TBdRKPiL4srIRzLYaZW
65aqbjWyy20xlsRvVpo+GZbL/GyozQ+R5QFbiZX3pRHNQ9eLrwHVh2piGGmG91qAY0QqAZB0TE3v
yp+C+VyZHbJDu34tQ2oBojquCGAMWDuratsXdbpRYW8fknHKj3ZfkRKIrCBxxXM8TOk5455HvOCK
nWg0rYakBahgJntMH9VV2Y6Pco70TsxRwWQTTXmUzJ9bzp/r1u7KR9r2/TpGmpCugtye6KcUPcIn
4iSmQue7sSvzVWOoT0FovQdqGLyatWPfghoB0KUcFDkt95XzKbdycYRWy6AtiqtTVTCT62rri5cP
5JKIz3Q96whFZ1YBX9bDQVUEaGhZSWJ3I3zMyo32nFi8B2FMITD8IdmZnB5vrcILUH6XVw1fepk1
EEDNm2jScg2Zh1uUCR7JaqO1IThV3NhV8ky6jstUNer21RCT2+1ZRfnQRR3ROZSCXg86EMnkSrKl
n41au4RIzC8tZsvlsFmL4haTeLiWg0+VV34l6PHAAA0tqWHeBoO+nbN4hRGJOAvtrZIq/8BctICa
MT4NururRIvwrbjmtAZOaUmyz1qghtNECmnQd+EaKj2CO6xMEBtsAgBWoyedM9QLdXbzmgxCt1mR
No2BjTbXfGc1RfpPoMQ3wPt/UfhRbv1V4bd5S8v2B6n6Uvbxg39I1d3fUC4A2qLP7ziom/mrP6Xq
8je6yMqGdCW9b8z4P8QVzm8+4J3vAyf+0FZYv2HDYIrm2uC7Fkv236n7rAUZ9H0v21wKLYZXgjkH
o1hmOj/2mX2iy9sgqI0T9IX+XrFXbmfZOMc8m9Othz+ONPveerAzF/JACeZFsOgeCXjgVJOWw9NE
3XaytZWvRd0q2hFm76yAAhZr8LDJ2iPSdQtj7SFkSCAZPq8CuWBfJNzaLr0bQO+u0iFETYZSayWA
zNOYXZpmOYY+LVOTFDuZWY8Y65gyVRaZCvSzbuTQ66cCs8lKewTXTIjQP5tGByrWfmYO9dWuEIcT
CHY/+ROHzNJ19vXgyGJlJ13+EIPKuAK1je/KQ5q/GokP3iOLijdJRkTwREzXMQ/HfJtAnrmSTeDv
Wt2xehAL5hKVZJo3jWtYIwzNKdj0I7XRyhtrRoyTSSDvbDbmFsIOxyynds5mow6kLj1UpvBA6Pji
Ok/FqQjGnDYkwuGQ9AeE6umEwlcFuxZK7JobptyqQjT4I1OkI2jcEdmSGl+0OdYniUfcMbyrnJbp
Oiip6TrpVbvRCokFGgtbIPvVVDZpNj/WDjv/MEUvlK3WM3oV9zhKr38tRElUMUQU5HB2GdxUzUSQ
b1ZGcYMb0IiEeeqLwJ4fyRpLMaDFQ6mMTzD7Bd1wUD/GvOtcnXAsL0o9r02nBIdrSPw6K8wM4Ovs
Qt34IYja7YBKYaRo72s6i5ZuDjT6yIPGt0eTEebh7ZgDyzEYbrGLxAYh7Ss1a7tHcxA7Z3LqieYR
HMW2RjpTxba9zwKLMju9MSac2gZN1JFEnn1ZUSY01yVtTyOCrVIyv3Gownrt+euqH4u5uPKConWb
19IKnIdmZsnHYafL2IA/23BQTYZ74Dz5vviWL4JCvO+HHfgis5v3kvPzcmak5HOfB3OJjzX6yVVY
OjGM5T7g6UvOrMngaImdTSGJmOP1EIONq3f1JaBWLFm1oJXH++ESYDtdwmytS7AtYSDjJr7E3Rqd
Ro8B9c14iS6BuOA3OP+1Ljm5ZGehai78mjolrGe0PlbwUKCPxCHqOTWRxnBhX4Jv8bvJZIl1vqTy
zv3g9jtkM4T1dnWENAAqXnE1LWm+5ZLri/CdiN9BkfbbXIJ/kWqO79JLHLBTkwxcR2QEZ0tacL3k
BrtLgnDbkyXsRkusMG/AvJ5N7WxzIErbcckfjieSiF3dFC8+rQp213qJKkbBSGyx8EkwtpYs42hJ
NVaVR8Cxo5ew43DJPQaO3UJohO3MV74EIzOmIiRZLJbWyNQtZyUylOslTdmr5SoSvXPrY01+Ci6Z
y5f45XpJYr6s8v90Qv9qQ7QZh/9qQ3z6UhRftP7y5Xuhof3tp37fDZX4jXyUfwFDft8JffM31iQb
f5MCJKn43z9lhkSkIDA0XcgFaDku+92fLVD5GxskvniUJQ7YDmakfyMiBeTJj1sh2hTfZxeEYGCT
5PRvTAZvamwjGpziaJD6Lqp9T0sk6beBMQyk/eU0HtigPGs4twtLONd4BcTCF8aS7x3qXMaMIgLM
KPRxxY1emMSc2NOtu3CKw9DVznpobJ4Nd3zPekW472Q79pu/UI6thXfc+Q59rggGshd4n7uigops
A+oHkhVu3IWZLBZ68rxwlKfeNOl3onbGYzTqnUObhqBKYBloJMv3Eh8NqSk6P3YsjNDq3V2nobmZ
WJ/XfRKHt2JhOhdTnD2hjkfZT50H9NmmKnkfia7eWyCsrvQFDx1arvsxuECjxwtAOm/C8LqEtPZM
IpE6j0zVHrqhARCQefeIj/1rM0E2rvIw/JBFGncDZR3pe12PLJniI0jMZt+wEh+GWK5TpFP3ZVXi
ugGatnMNdsKZMui28PyrEOe9U47pHX5sTuNEcazQ6qktqLty1aWwtRuggNuhlubanKU8+8moj52e
jUNgzPQO08i4YiBc4fCp53VkUKLpxCyvyXEA6l0rA8D3gGBCxNQWFp6+c4j9cy+JBdlZte3wW/V8
D31AX3uxQY3VWU/uwhKfaD9v9YAfJvBSfT+nFCgEi2c7tysRn1cjFowYNnnHeZ4gjw9mHus99L3k
0PWhtefwF7z0Ki53LIDuZxVD1GRcbiXXoZMvk6MFiz6OENJVnvWbmB77gXK12dUuTbTJxMCDWxc2
6sJZh6vuf1RNMXwN6XLuZrMAmF8H4GR5buS9ZAKWnaekekYAnjwr5uRvOIPBGxSzY14Ta9mflEGN
WOYmZPDYB21ehfSSCcVUG9Kl1VWwUOPthR+fAZInkIV5Noqj+qC6Mr0fy5rk5cLuby0U3ydZYwFH
YUsawzqmBesdOqOLp12jFwoxfHRg9vPCtaevsUsuqPt5XBI3F/69dUHh1wsVf+oUTafZB5XP9MEE
mGAR4mfjXLQ2JH1gz2KKvBqtOb+DBnaAoZuugHvU141rvZVZ7QXnmjSF6IT74p0bN94DqTl7SHXC
OOq4k4G1z1o6IN6q94fC/zRLEja2YTDNbJajvtOdpfJPSeSF4rwgXwmX1M9U8PKOZOiIRkEGx1AG
mnli00EOzwr/aig9C6RdoGGOV5Fbkb1h5MmwZisPD5XkMPNsZYNMxw1on6KNCHr0Su8Kg6LSxiZ3
Esu8ZaHkc897gksDN2GWsAVMZBJcWA/t2iRl4KaevNx7xzmDBN2tdiZxX3CUDD6TYaZB4s/+ihWO
HVEaSImo2rlzHTyMPm5JpMdSpOuxB2q9Mls/+egZwWQcVNFDlnNK+C2rUnUdZAZivjFrUxrL6yHM
SU+aKuctBRbKnWKCZDuKqDX7VVED3oZ9KD/TfW/TPV30nmHPBKdv0xuxz4mNuYO/BcXAS2JqaIjy
GE3xZIczGUWpzvhszYHQF9Y+XhFaASYly9eQo/MwTjCXxX5R3npqskp3PXF4sdsTeQ2OSZYi2S+h
N3qE6USFezv27rhzlqAb08x62P0On/HaJYLkKRuUdeLcrhtOhg0c+zn3B4Sdtntd+LI+prHPcz86
wcJSkSTBdaR6d8KK9oXXq30ZNeldYWXnGRukt2qEU57HyIlOQVV5MNVaGTGoUh4PVY+xadMVncAU
6FpLJPneMYpkeVY5ZgrQKNsGsL+xM/GpP3pZlWxdS89ibQ9Qq12jKBA9d+WD6j1muS7jJwhvFh0p
2z9h0iUItm5weIwyRAZE32w1z11mrnLAUJ/qqf7IHtXcMG0kChX29TqGpbfgFGrzMZxFsIMdoZ6B
COh7iUmMzaHIjlno6duyVQYHxMm86gsz+DRTsiLvExvtoedm6QwORAKY71NPxBud++q1x8FWrtrA
qg4J2TYnb/bma6Q5akUiA7r7YUpob9l0N+sSVl447mh2SETa5pzQTooEZ9XeltuEptYdYrdkS5Lz
XhO4/Dx7ZXuc3L6DNV3Me2LinZr5FZOgWRs9qa3wrQhRYvTfjJY6kYQCMsGyARA22HpRuoygj6Wz
sgSjuZBw37tqCod1jx9gKxM/3LtcAIZl9O4r3KARS+Ms39sEkLAXApF565XVXlPriC8MFMqd0872
NhWBOLi6tt8ZI69HvnK4qcjS2SUxnbemaLOb1Bzql47n8Jo+d3OHfdw/ox8tCEEtkjOtSVDpdtTf
pKVDiATS4kM29x9qJePzhOnnXcC84iYIBAlmiXY5CZAVjEsPkkiZ2+aNHqGkrGOe/Dsn8ca9b7nN
G/LBNZ2pdGPT071H9znmK5kr95jTh7wndhflOrXrxwFY6Koac3ObghY5kq36Dp2HS4eNtnRGE3dB
B9qYKtIGBJcw3o9FYG4lFuhrJ45NSICaqobdv96Mhl1tJF1ipDeifTasjiScToeMzySBOT7mq5Xu
R5dSEjHpmp46JrkitBCQ5QpNK+B10BRLQOygZlvxUJOUvSmRGr5ZI82tkcQoUKNmwkrQwFJE1N8z
TPIewciokC2P2MQwetLuVMX3/5zv/xsvEeuBhWDsf294Pbdv0Q9H+28/8PvRHu4BGakmdh3zD0HC
n40usTS6EEg7wgSwh8rgz+M9qEB6T564OIv+kDYsnAaTIE+6UUge/qaF6KKU/E5JaSrmndBCsCjZ
kCewOP3Y4SIpFLP6BKHVJ/tsTtdqqKZpB0+WDS2X9jEdMVATW02WkHYkM+NpotfOCeZuqovm0GAa
Xlq76L5IztheEgSjaXLu4LdpjlBlNkIPRdROQ6AnND13ZTDQzJjIU+FI3+Oueo6CEXzfocthY7oh
GGOGpFlg3Pq57PMrug404jn4iFLRufLgth8G9CJjfwy9TsTBMcDQmGDRUHX/WPV8yI9GwTljW0nA
WlugZA1P+CU+VBH9tobnBPI2rMgXDXOLZx7oPW2wJpckAg5ZfBPkebSvPWsm/rpwg6cit6KnuS1t
4F0oHzMsUR8HFJRPKpENjuQ8SjjjOTftiMV6pse9I5u1e/MFtkOKDE6+cdqQcc+xf+2XPaNGFGcz
nfSrhCGK4xGil+Jmx25C8M/J8ua8EOuExO+bKEx74zgO5RL9Rf9jejQm0c3mhijBZHE/Vo7l7a14
6c/3gVm29UGYYSCWdSjt63R8wGUZN9fVqEuqn1WOljvv/yG1/HctcAfV0a9WhJe4CdH5/Nj+/vZD
f6ieUDBJlz+yYPYthT26o3/JnlzPQ3GE9GhhIC7RyX/onnzSVBe1FKuA68L5wwPxx+JAZCqBFWhu
XU9ZFqXn3yn6PfFvRT8vbwMXdWmNOfTNftJZq55opnIKxUGpqSACrC/VulliweZiqs8xMmk2wQ9T
ocgO65YYMahUjHugMp9IW+lu7JK8clhN9s7xAhFsG3T+d9ESTNYsEWVlQeDYChflsQ7apwBe2rLX
1W+mXfHEbBo+4GdwGMWL1bLgVPnAftcjRvrsBAXRihGIRjmNzlthgkxZM5p13uwKaMZq4Ty+tG5p
fElHb3xmlp+PX+iU+F5yFWs53ESlt22QxwIqT04mLUG1d3vEQ6g/8e+tQqPDTNGy6MDTKo0nQzqU
dBxS+m2lwK95qBFWOl98UZ5ljzeiGZkqp5H6kKUZB2kNa5SPBdzvATF/CGRGdGvoL8vSxtB6G6gB
oomoTbkKdPpR5nNxAu0F9VzNcuOQRvq+SVAFOyKQAPmAV2WBPbxAD56WKo3iQupFDIns6A50g+mB
iUYQwKJovALYAraGV+KZNmBETwHT+Kqe+9p7qTSiFaYOIzE0c4P+aTUmAdFCgb+YJuD+tdZtjYCN
CDd0dU8NB6+3jmUUsXs2kDIQSgZrvhBP42AvnzJYqnBF+qN48lNAvKvJQqUQkpKF0Kpy+PWtnVEC
NUsGpkb00a29VpO4aRMOT+nuIGhYqcgnSMNoaiINh6IrT6LJQDVc/jETCd9rULnURAiT+e+mKOdn
HBtn1rlasg8tHxrI2mlzwmKlIuTP6VyULL1E/pBFnOg34UgqqSpTSNwMc/wX0H/0chq1yIOWau+J
vgaXkXc9Ql2vpJMN8IZ8xyUhsELepveyZd6MvUPPJ79gTrCacjJmrVCwMya0vZdsWj4Uqk0CdNp0
JvXRUBNvYKACCLdeSMt9nfcB2bLDkqsbBj0UBIeOGjx5UkbkRnlIAm+Cfkma1C0W3GNb9cSJhGXS
fkbuRJmCLIPWMGNyclbhDmb7LEmIOMHWjt6YsmjJYJRq4aiP7nLxCgosIGqLKce6GUb+ZK7B9EoX
6OwIF5EYTQzwr27YGWtpVFxEgNDpTsW9e768out1ZMH0BvGicC+5N+seOuY6GQghHZqUFCpGd7QZ
5GD1875phHwzwf+QdReO5ck1m+q1tiDqrWpnbA5Uqo68vyR1pjb99SN5TMiz0S6QdFpbeDFXoZ1x
WROMvjOhUu472QKNebm8S8WmGx6yScbFml4pb9apXO4ygtHFjd9k5C1kqaa00Vg3CCBGFD8/ouUp
AYFmy1fKVGr5TJLJ1Dft5C/ED8JZp6bk3/1paV98i5U1SjCpabmkwGJ1RDgyZKxQXkLAi8xNMe2W
cK2v8+xwR6ILWu4pYUHcCB1D5fuy6zkOeSIfu3VUpSMRMmk7bFofkBySluGB8/x41ydT9Yr7kJmZ
WXaourKogMXvS786twp2ZOWQpOBYRt2vtMWgo8vRea0nZuQLdiI4Jf7kv/BlutHGtj3xgP+TUUDW
6Oq1lZ0OdojFRugnvr1PBpXv0GBAzOhDB8piqz8lBhJXemg8FpmfjY/KNfK1Z6EJWVnN0HAxfABn
F6IrV5enpQ08wUGU1YLktzeOX4Bh4SPjODcCZT0Mwvc+1VUCvFgUpbK3nPDQYVka7WIYJvKIDJHP
d8IL+tJ4HitIR73LC+bD7SAcuYUPZTEkanHZYLoUPjWUrI72uACdMhVFa+xxISKUqnjI+tJdJEpA
2Vce4M1nv5y9Ha7M6Yv0cvsqwCd+SHolPmeOdzFhjd4OxlZyrhs3/mLX4/CEj3Q6EiYFZwj485rp
1jPm8OaFw6LeIA9pEWX5BONCe8EnTbjyWYAd5c/GYmcqZJdFaM5fSNdE/GgD0jopZ/AQXSTeJAns
DuxXuEAa7BgaSAy+ngApilOcs5ezcQhpWppGLYi+OJi9sxPWTEub/Ava/gjhjUJnghamRjXUjuqG
dtMDoZvWuKUcYMKZql6Lc0ajsL6HU4pG1/ThWtPVmcmW3Og6ra6xd5YkJ3TBXdE3rCaTh57FqLoH
URTv7XDAS9v6eg73fRfb5yotTOs5qOzyhfCP5pHu213k9PXDtCQ6DaEW8ESF91h4hJjC3WnVbY20
54DHC/5kiAsotIbxJAP1NNMKf9cx/9uXEIro6gxF6fN8VORJ9A1BIYimD2Plc8yurDut0Y24eRU5
28yMTAKEZ6BeQd2a9zoqy+1oeQxck0ZgsrCbccUomsYroSWFuYmCaPgQUKtnayE7B3VL3nV0ROss
I0xCyGwLoaRcq9Fsn6wiVa+xxSifrdA2b7tEdiToGtWxdwnMWZMM/WFkez9BFetuWsv8MDSqvq5o
F7X0PsbKBb8WtGf0J8mmBx/9OOFEOk1jIu5T4bZfifpoPkx+WNZvtG6y/j52m4CkuWZOj2GWFuuq
bt5b0xzcR5EINikGnhVHwfHct8JeZ4z6aGSBTdK2cds0LW1zC8YBqZD5F+xI47le9HiBM1n35E/2
r/TCg02YR+6dX/nOLRRX+DdpEaGKQg9f3dCvTK+JMbaKTdSZxj1xIs7Gk92w5eOilyvd8arSefEB
Vji6n7J6DrrKvErN5qVlS9yS3ugsQ4BXYYXHZEj02Zgc+X4YQps5fjo1zFm0YO4TRScdAtu0wcRe
d15DsxtLSepZuOlM9JiEvVajPA9RK7lCBYkzksQ04BjvWjY/g1x1bhUTtXQ+KDzCmXgXJNJbhZmL
SMoCpwrsF0rqmGUbQV3HWsgQIqJrwk7hB/OiG8V56bKF75CLmIS8WpV9r0Lp3im/aR/LRnZs9Iin
uJ6oXafzSOJmC5moSZ1V1YXPrlmjNUApCcppJKgS/Cz5L3n+GCewoWioJdnOKujnjVaWIMYyl5CP
Fjn6atJRdIfznzBa25yezKbpT5O2lwQffrBHE3XNCtQTLwsKatPm/r1NM3hfFV3Ev1qyOiESrB8i
h/HFGm3YsO3Kgl5cNJTiqiMW5D6OXZCbgXukLQqqKg2nZzLhsX05efcSdRFoWxKA6KAB0gvHPnzu
ERKuPD2iIqm1feVW+XgYzRBajh8p5i4u3wPxLwPt5Ry/7lp5HRbiKY2InXLzNl1Xo0NaIzFw5I1j
GyNJJs+QfYFlqnwuvIdm9og00tvpsQ4SULgC5Vmi4w1kIdrnQbAyx0YQAOcWekWIp9zMU0j0iKTx
vTKjqTuNjSx3ROaNaHVZT9FRQ7Fae6w3n5O6c7+i5BrAULjOfIj8NvtUeV598Bs/2GbL0Qp1YYPq
bsLSL0VermF5u1gI6mqb0FVeq05110MlrE1ApusaQQUTNZIZT0Sy9TezVpX9zP6GYbjA8N6vc3/M
75I2tgk3d1C15WPoPmQwCWk9Gn6zwv3GsaAY5McUh3u486FM8QCZnAVpz6W3hJI8hn02notU6y2i
NH9EFaeCe80x4JrYqoqVd7LD917eAx2cbdwbgfRfw06UD3OAexJoebSr0246O9pxbuoiqok+rGtj
05VOd2WXWXsaRT3tVRGPd8Jp9VM05Ff1UJ8qNY+b2rfq2xxO5CeyiqDatnVzxZw/2DeheuGgNuyA
525gCcp74MJZtnL6NE13xFqBqwCwCRUj9mdgTINsqmQN1b1M4Da480Nnm9XHMc0zcFa+lfVEBKEq
sYuOD8RGY5l2jZF/mpY5kOEzETIifG7bsEIj+FG11VPVTQWTo+bbHCk3WNyOwYjFGvvKQ8nAqbqM
norLGMouzLd28KvrEVXGCv5H3R3JCSWsBTt9Sh4WQ6YHH3+b+S7O+admWDXQJu7KCvqjQ7OjQdzs
VMO7OUIALO1Ghd4dDu76jt3v2ObsoMPhu0r+Pxhqf/aKAttZhuoQTF0pJMK1H9tmIS7yCT1Rc/Ca
Rh4Hm0rUiSPraZ48/dlvxF9mL/zs8PNNmK7KsUj5MJkR/GzgReI40fTS5aFghnjGs0EWEQvzW2q0
DILA+XyKMoy/N2GvOoA9DYYH8paA5+XXiZMQmn7Jd4RKLZvbvOnFTW64JNU38Kpe+ogk+T5Fu76S
MwO8Y5i7+rNJtrVPQS/b+dFyDaLqmVo0h7jrOGZWifMGU2RoH7F/OBqru8Cfsy5c2owfZuoJFJpq
pGALA8fmrB8uqeasGE+5ZxNYn036M7dM8VXNffFowydbknU0/z2xExV+Igh255DayFjWTpMCCyzz
/WzoTu984oP0XoVlg6Uh53JkWZH53kQCZ6AWqny91MK5W4ubX3/pPzvbfdIDXUmnBqEfjIef+Q4p
J2RYlGZJqOpSLxOuTW3QoVkKv7XU/le79nL3fNeUJamQF/LxtCl6H7b1892lGiq4OuOFsghaPs2J
HGNlUfP98OzJNx0rauuQ3FOX3Dc4D7++zH9/dWXaCrWHktB6fTSUPyA0KnqMnjlB7mySinH+gHk3
JmKT82PWHEoAvPCGWo8iwBhyyrZfv7hAzPLTtdMCt0wgJWIJg/352gcsNGj2GjCsouK390PIgNVL
a+upSDRlMzE1XHwvJzBF4ZLKaTZFR+FXhF52COUoni5v6B9B018Jmly+/+++u81b+/Z/vjVGb97y
L//v/76L9acSDnrxw9Tj20/9IWhyf2PeASaEBQtD1ffkNN/6TSH8RVQk7SVNZrnL/pD3MuHgrkcX
zN9YdB95G9/pewFI02Hk4eAe+Xuiph8XcYhplKcYr1hT+W0L3u3HG53OapSSDeieOLwzysixYjqC
ocY8QYhdtw3txO8+oL/cNb69oGchLpCCWZArlgXmOxtpylVXVpU7J5sp8Eb0wPxnEvTu3EzVh3DS
f7Vg/bhp/P560uXzIuKcBvNP2A8/cWdNBSpPXhm5b4nPC9hJIp60Q6/r15f246JxeSm+ar5rB8At
W9RPl0YcH/3eVMhTmg+k63pJc2AozAPs0ie7acHGvngppoIGc+fDr1/6P1wldxIScoZr9Bp+xicN
dUpIgtHIk7boNhCHyjpJ/N2iEQnZUX79Yj+tT5cL5Q5EDk4HFLrfzy3xscx0jilOAgZ2eSEgA7TS
hsRkQ+hbj75RYSdVdIWGjVbY1EQ9OeiizKINuXzG2rSKvxcrtLwhl848vmnUga7HnvHjTYVANeiy
MJAnNUgu99K2Mo003v9/vhbVPgG63MLcOD/dUEBOzYzxnkTTPoibThr6sweo7KFLrL/ahZYb5l97
4LfLYvdj0uGZwDF+PvDEbdUYJGTIUx9EX7+1wSyASL/+Nv/91nFNFiGoH/w/q9RPd63ZU3C2ViZP
JC2Wp0T1bC0KM/BazCn9wl+/mPjRTfDtkmwaPhaHID7Cn2lGKkAiNmNsPSUWDIUNymu63YGhwRMs
vTtVp84bhjEeUvK+HqaotY9AJuy/OFz8hzuY3h3Lnrk8qtL6+YYJIJ8EgZvK04i2/spOC2FAP/MJ
gTI0d2jtc9pIU4ttfppB1IBI5eGl5xrvWUGaw68/lP/0DcgFYIncBO3rz4ywNPPRC6YVDy/TnwdG
XsPq0vqX/8PeeSzHkSRp+F32nmOpxXFLoaAFQTTJSxpIkKlVRKSIfPr9AuDYEGAPaH1fs+lpYwOs
ygzh4eH+CyQl9v/8q8g/YxrnHC2/pdCITItORIN3XgQMb/Lc80DsmlAfm2Lw+1/2+mwhfBtVUDtC
mJM85vfl2+cKiN3QW2eptsl9LWwLPrde3X9en0vAmATFf1jLhkbzy44xX4mxWGR6gqxmZGXeHGdY
q/suZtXJmZ2iOUIvgCqsRGj9DjrpcldI+toQOfFlz+PSvX82eW8WVKwiq8Wxi7oSzFXT03+OILAo
yMn16tJ1SHPAokDv8bB6f5DoTb5+Zg5+YLhGpYELFW3Qt2J0NLlLf2k8/0zWdnOwVzxnuiK0Dpkj
qxEcXaOXbFtTBuyo1Ja9DvcOH3YruPE91295RsogxN40yNQTsr/qaQGgg/B9vrKvXNRJ8p0tSjQJ
AmcmW3SyxH8c8ni5QzhQYO/CXxOAI04jCp6CQpFLu8Mth89qitBsyXyUEUoGEC3AUt+AybHEPgSe
+oDQiYWBVZIOztHB9ADbzgg25K5J8rDa1qJIPVTCCy88qduB74gZ6Wfxh2HA12zjTz6UHnQZ6Izl
HSuk953+s4Yut55YKVKGZzM1WRqJWSN2Wjh42lcw5Z6qsh4+Rz2CTmeNY5JyKok3lqss+jlkw8UX
RydMWbR6YVVtZsyeH9DqZu2pKnysAC+tqDK7waN2Evn0kmKH0xQ8Nrpyv/Vr6h5pFA53IlQNBVwq
2CjIQ12hDQFzaU4CThhH0+yyKLCe+waM5KfI73iLz4imRfqgfbc4ST1PPgkJ6snqXOceYx7GJ6Ei
fkfZd31wJ9QH+sRnnp6RJs4i5FOF6JqxbOMuusqU0mgMbvdh7DW/BQYTwYm05VOaUjugMRg3QK9c
Qp5PuZaTGrgaPrD05nJRmosAMCgdRaxsP6fSuGlavUZnuUlMLLBhN7CNkwubRsldhcTFQhHassJd
AKH0aigGVg2FveAxCitGE5OkHjvnjiY4Kl1pFJ71Jl5aU0R3UPoTNmwu3edhi1mdUUJH4v8p7HL2
X2dnOts3a+xc5VZTM5UBTiewkmLsf2gYmB7pM6DTadFnoolgJQ+S6i0XXIWqLEAy+t6O8QdWMD+W
g645l/GrC2iR9iBEL9eoxr7IKZrgEamJ4DE0ChPchkSCyL92xIfMW93julIl3rlZ6H9pp6m9j9dC
X6LcUe8G/MmcTWnVTnxwClucFXUHsgZPYT6lXtAeaddu3NkyDe/RTSxQgg0xfNtEsJiuYkw7zxs/
R1uzqZIESQvpbZfAwr2hXfV9hVwRdU14t5SXDcKNNQktG1LdrUKlgwJrOjbfu0CoH7G/Aq91o/EK
fUXo4pTXgeqMFZFpu9YErtnuqbspS/ef8JUT8gCuN/wGjAYAJkSdi07aIjtwr43A8I49FV18ok6m
buyuYL04qLWsMv+SeRYGGp3qL3WYU41qdXru4Mc7nMRyDj+jBGj8M/v1Czik7szz8THBosBfv1Co
qvYgyldqKhPTGKcBEgHV3H4p6XypXTtR16WGHp2YZJR6xTJIaLSisfYDOaCRXWgOYPuQ2sXTatNi
bnY3VtI6bauhPy0FnGIdjPp7mnXzPrcKC25e13wqqsnfQiJGHq2Fi1UOsqAGLx6h9bE/itXapW6T
b8dJOIem7/ig2LoyrneEfy/Fj60S4Eh3YVR7HQXwAbQHpHSwI1lnZr6fL8h04yNdVPxa2gKVNT9F
9w5NhSTdUT3PT2OKbNBuARKsnbb2btONH3uADP12auVhNHqFbW5/qyPZfUrqwgUf7ywHaaXebqx5
jiRVzS2nEurBK+H9IvSHGV0CmxmNMre86KKkvbHV2MM3VyxqKyQje9QpiAHLLdkSEsvtZd/1yi3P
Eb8lwQZwQeObaKueMmETkLoVBIJGlhlTDDUldBnhdezjcQnAcuKvg8wrljnTpsE6Zd26AX4/qeMv
N1iYWdtIU9VQMuE8jscgBTXg+mBLRG0+zVl6eYISGiGIaGwo0SDdrIV7lJR4HuzCaXXup95n6495
MBz9BeGYY+BU6B/0LNttF6FTsanqtv7sdkNGPpcDMncwCuuMB6eE8hyUedz/0P3kgwmNINHXgCT2
benP35t4xsUdebPgLxwqklORJ/KIcSAyLe2SFeMGgET+VU7qsewDbx/4RYYdB000+alekTf4gIAN
sLXYzeOrCf0iBPDhCebzPBxLyn8HtErBEidZE20QtZk/ToFo7sKs/+HW66fF9Z1rDBPVkbgKQd1N
wPT7tO6eMpVnT2tRzB+yMWLm2PFYU0zYkWP+iYwR+oKFIWzWMjpD8QBhu2Wu4W1Kqoh6WwGEnY8q
WWyoEJ2+HKTy7kLEJKyNaKrR2YTMAt4B1BMeADcsaAw5qr5cKLReg4GoryHJjXdNEQ9b3EHkN3+y
6n0HAPkr2tLTOTIuKwiR1C3CjYw9tDZykW/mcZ1pLA814SJJA7QvYv9Mz9PXtLfmD7PKqltnHO1L
dG+CL9UcVtlW0AThrKT9sxmo4l8laD1eigWxJSuZUbHOp0w+usXco6bngd+n9H0OJxkWjI/pjsD8
TRe0plt4PYvjuthvoOy/HPK69e7Dqqcn2sIf7YscvxY9rrcKI49NMmXz57FWw7i3pfSLs6VYlmAL
wtlCpCfFOeIqXGADnCT5KI/ccq2LMlq7j6D8XJztK6ACaDpGdgWcMp6vZk74H840yMux76cTkCH6
nDJaU+/6JE8xgHW4XuQEtxNkZZ1i25NZWNtsiqbbzJ1m0PpligMHTCfxuVoUGqe6Di5wqSeM0vdC
nG3osXTfQWwZU0DSnXupIr0GG50MiKPEdeQTEJ35e+ciYHtIkAw/ZH3mn/r+gF1eHYKLGKPiTjbO
8BGdcfkQA/LYTwtI1LVcaLREoY+6AJ1T1JfKaIfzcFTQgVzzJ3wVOYeUjbI02kJFvfMZqptp5Z4C
tzIS9DbT4tq1wX/ZYrYAaSssLgtv8A6x5Ql6M30bHAYZwSvr3CKRJyNr90da58tffeypb3MA0WwO
FY4Vdh+OqNIg84dVaFdHqJ3EeMsi5TMAU8tRtjlGqv8R5Et2I8sGrvNaSHXm4dLS4ZoIxxho+6BB
fwua+JzO1xaiDHvXDlO1SzJD5Vr1stAl65AiD6i5xyjCI7NhQUb+hGZ2B3QqW8tr4B+RjRxlW1+3
SV0j4QdC4Ta3PGaNorrjg1HFBWl8WPJhSf2XG+z/10L/UAsFM8xd/r9jv/+3fpTVK5zny9/4N/jb
Tf6V4GYUJhBc7F9VDpwIwQIolTblJHRskxAo588qKNYSHoc0cHAUDdAINde5n1XQgB8FFBFjD3iP
D2DwH1E7vdcVd/M4DhA36uYOlXcqr2/ujXE06aYZbf97bq99+aM2GBZ7B63TGtDHV6WrH8oaVN9B
aq8miksMab4t0IjbC6fD2dQ99JYP7qyCL4gsUJukNrIccQ2d46OwGwslfAA94RpuUFbLJqwBvGnw
EampcWhAUbQcpXuN8XvPtsogcM0Y/o20m+pyzLhB+FxoEI1ZUaqKT2B8FkOwWUCTJWJbg2tDFKCd
StkXOIblGLb96Vb9pmjDxTTxKA7H/BMgOvF2dDqJ2q2Sa/C9l/OUAKzG0AF5F+F7XnWZZMChUNx2
irb5MYQoe977ETVvAdhhFLxP68zZ8vGXtfU3VWT3t0dCMAiuJQrLAeUMhC5eV/wMuqvppMieaD0F
1SVmDNmzwQPZITTzsEDbtYkKVP6M5k08ovGz9DRjS7vvKnw1pEZOLxo5tM9AZ0ocCNY0W5Htrxem
Yq+42a4POT7X1rIP12oIr1bcvfi1BicxsA92RsxO/lAce1Puo2xh1iC8YoBMCW0B9/U7pXlFAkCe
9N2eLR1+CIAsdXdNjZT2zfujx476pUri80Vo0vs+1wgnZvBiM7i/1OB13QzJSiL5hI4qUlH7vk4r
Hw8qmx2+eFHpX8+yC4xaRRjUltr2ThZNdxVqfX9yuX9T+jJPYrQrYW1TtjHtvtdP4oDyQRC+DJ8m
ScfvKuh1qRQ5kOVF3lkG3ghh8fff/bdBpgBD+QsuuWOT6b8t32KjYEWcXt63ekSRVu8G3cPmRi8I
48Z/JjluxpnA5TuQrIl8KBi9mVAUMOsKOID7tDiZLPzvLryHPD9Fx5d1B1jKDHGtQ8Ma+acvyRoK
zf9QVSbovqmHY24vRVJW8ttiJyPqyWVUxzjDuFbB6L7/Vc7vUwgEgEZUSOmY4P22ell2nVPNk9s8
SVQ4YfIW1Cg+1q4iRm0VzPesv16SNbWbi64QbWjvgymv1odSRigmbpqagAhqBiRPcotYCZ2wbT4Z
FiUubCLWx3H2/eZPFdfXJTcmJogRySB9ZnYofr8NaA7CYxQr7PZbq5XgKZB3rMofk6NRSu66JkQq
Om2mDmHlPwzW76vPyBPT0YV+TVX0bdhKLcdeehFYX9fAcrhJw3woyKqiuM/RMHG82pX1kW1SRY86
rwER7wYhBBrXjbW4033RrDO6y5TuVvUVWYAyQeAydPV50Ghfxrv3n5Z98SZQ8IAR7Du2CTrdiCy8
CRRBNveiGUX3NY8xUgLuG4OyvUGuTrCoVqQu9YRnGUWnK8tLC3aTbBHuscBAaE2wTCo/099YgE35
I5Q2I8Px5yMrjoKbjwjPSwDGl57oEiyYo3+SWcJteTs1gIYxKOfSzey0IAI5hlGtQVFuk8MmIkRb
oM/4QlcvdXyLbrpaPq/apBCbYVlTxgLdEI8gb68UdcuD6w9GoX7IZ1BEfeiXzfdwhjrlbDyVyvWG
7Z8En3BsY2mKlWIkN9S+TAD7ONB0P9Ea6ct2P4LEWx9W/LKn+0kM4XQnS/7LvIG6SQQx1m4dc+bm
iDQOG3Jg7oDbEgEaNnoa8xmwweyyzLODhovcIj0zly6/GcLh4lcKXNqbECrrkqtbNUdGnFAPS0kI
loC/cH0qs4Svtoo54deRzDXfBieqx8shQTnh8xAXwXRMKccVl7Xfov44O9iMnueDpcczzAEX1tIS
gy3QO1i/jj6PJ5lzWNqpMmcm+kLcY44oHyl8Gzq/7avq+PMFAnTgeNWWVmtY7mw7tRjQwG5ZfkgJ
mSBWNxGuvHt0bIBT7zGm0k25lX1FvfHnZwz9QPEYeVmQQluWXIfCvIfLMWMwItjHVy89NeUzBId4
p+xlVFEDoBAML6RHXPA4zyqvzsBhjCCenBz5IEr6Fqa41A/SkGHpdcSdekegN8ulS5Dz/uFVeIDL
PUIKZXPXqqCL8PHygNFT1IBRz56a2oT6B9pNombOvMXmA6mkOSk2RCh1x1x5fdwwvg3NMjGG3UKd
EsQVgdFJP8QY+TEmCFhgr3kK+G+CJZCtCAbGu9JZPH6m4eSYlyiTPlwuBy+d2mzfISrME0fuRBTY
i9WbeBmUh8z6FR52FQ0uZtzWprNEglotd53ufLbCWHqYJzDzKuLsAiiqeCR8VswXzWNpngXEo1Fx
h2DFFtT01Vgp3hqG/nEKY8+QGCgfmLwtxUK1uJK07oJPQNX4wzbxdMRjlbjW8o4DvmjlD9QYRoZz
habBJ9WkgP6xVAv3+UOGoyxL1KTW030ft/w/N9+aDRyVithA6riSZfhYlU13WujVBI8cYsJjOXjC
bGk/MR8q0HdhJpAPHvkX5W1vuo+KCv/lPXfCXurjtNhcLS8nKsB84CAgRmFUTy5mVrVXFFhi9VWy
OsERwxsoF7vSvk/yoMDo2qF1ZCJTXsMbPlCjOAQVmCvvoCqd+TZqvnBWdtlk9+tNoPXC8o8lZkX+
HiNYyo8kCnS7r8IA/KAA3atqBAKQyfSK6w45UwoJ5OpmhikhIr5xQKBNQlwsJF1xCqhigBG0XWop
rfm8SiXuOeiPSOZm8NH4gL8lHZpVKKiWOsPBrhlSv8UAu0vgg6EX78/1nkBMuNlzhUdIc5v1Y5ck
YK9CBBc3qRuq/JiiXhZgQgzJ06/CbytqAYgOEGw174zwCQQaROXzJc+ziwoNTieCsZlIs3iK0oSU
SM0aMe9Kp2Zd2uMiWUOpVwxVdt6t3crPBncahXO1Bh6hErlURmmHXpkD82SxLWccrigju4RcdKtG
Zql1gLHke5w3Zj4rGWwTBSmaGgV+u+hTNSHM2M/8JleYgZ9hXGLiUmVPzXKbAEBlIeUUYglPvb+E
jB/Ky0SHiVFkLziukiyoaRAezqjM/qCD81hT5z/GtVx5cMRIRr7adyh29gfCJcfRpHFo83YNpR12
XuzX5pBVahxYjgsFO+hGUSw08UHHueVfL7ZGMXVDiAr8Yz+olleKO5qpSKy6JsWyrbnS35p44Day
+qO5hxD1zeDM3eDhRlQJomqyz/JyBgg6lusqaLTHXrYb0rlN93hspMOHdFh4+aLj8Nf7SdN96qGy
zBaj1DV5xMYuIb+yeGJAyozgz2XdFLP5mfY7lPa2a7GYxBnunwn30oI69IAMps0Ye5Ew2FEy0Qwt
tcjKCnauTyk/QqM0dwDPuwVhlwphRQuHHpqjwy9WO0OLsJulvk9cN0HRRggaRGdh20/4yHfT2H+D
AoxGoMgay79MeVJv27V9MXwpiLnroYrwQ3jyobIJyHthIx7nFZ/ra+zP0aWAK0NnsPeCGVPEuGwT
vCoG34Pfd4AjGE9XYoAgbagSduNceDXHKvRBNTnbgTlCgxZ/q2HFXRq2h79ss6WaTEq/ilnX1Jt0
7SYboBRafQZxN/ofwlppP9uWAyor1ibBUjftNn3C+6es0zRTpyrnJKuhA9bzuu6Sokay75C6K9Sm
hc2Bea7CfxjVRNTNkyiDEkSCtt5nJVRJDj6wgWcSjc544/kKeTXtEOHwe82UTEw7MCoxuI1csc2C
OjtCn1Q71Ngxc0iT1rZPnNnJ3QPkDnx+N4ruVrHNUy+wbnqc1/2Po8QDuTuxIYL3GJ909oKZkVo8
dWnRB7LufMuXKJC2rOoNJK1QoJUBDMgILYeR6E/iJchWCm1T1Ic7aNh1dZIWqoRA0/lxQwEWvpOb
byOxyiH+6jRl3D7lENynZVeFSg/fE3TWRsicEZpMtCJkoOwTlbZDgMJDZQe44aX4M4dXyKBYFcKJ
YU9am3/PwU2jbrjtYjSSuh1Ybr2GdJKVh2CNcHmZ8uZn9m1rYP7OHaIyHb2DuSvMgdqjmNwHH2cd
9L2/69NZpBP5FETw6qinKCAbS+2ZDSMQRGf9txYE0uJEeIuxwQqQWjebe4hN+ig4wNkOuR+aCNfg
vUAoKSzETFIMPus5g73lyX6Oz9chs0hJ0c+aOHpwGSs5Zeg+Zu56QnOVz6QF1JnsL5To+WENWIKc
oRTjTw1GPePQFOEnuGPACFF3siL0SzJLUWvoxyEgTAZSktnHlcUonWDxQBY82+RuGATpuSeWlXFh
Dg1UxlKshLxG0tKZMExcvWPiuzUpUetyz7ZO8eIFCGoamZD8oEU0wgTEpnY5o2dknkhNEH9SDFDf
RubkpAG78KQiyyO+e0ScpVs/TH4AYmDbpajet1zMOpiaGwmZieeXSWniZOVHNb/ilk7CE+ESLh38
TwVeO4jewuCku61GEX6lydJ2h9Ato/YCGufEsaj63uRSbR+ZlAWGgxkj1bWhcn6MltTYrsC0nEZg
G7SDbQdwGYzoFTsIvJmaS2K4NinSc7knRFiAU+rnCQbCjHGsOttULMJkNk/veKnFQFJtL5MOifaG
SwfClAwsYaY0TzBKK2f5/Hsk1oEttBl7+L/Uh9qcT+waBV90Vzn4CsHwtjB9xTgKYBF3lmZJg0+1
cKg9vUwjB6bjPHD9G9V9PKQLb+zRPmGORhpbjkBDupqw3V5By6XJ56mih1wd0ebPmvkUxGSILSfo
Sd7KWXtTfBICTm5+2iMbymfZyAqTgs/4i3EoxuHAYmmo1znLtpjpvGJ6UKGAdIWcjcnmJ/QuRXC0
+0xO8c2qcrcrLkKq5zyPXmHYyL3nCZtXnSqSzPsaiTe2yIDbDwWvFg4C7NTJN4mag+XBp2JwzALz
0rEY3JPBjejDwS1+Pl3zaco4NMduJlHdYmNEFhh6wuSbKjTrMYWsS2ZtMwLYw60R/kZb/rv5bbIS
gY9qHUccl07Oc7kI1kcmNazCMTPJPELMPMzL9qhUwLzU49wxqYB7PNVceIs3ZV+meM4KUJdORNNk
22AEzzItNDlBefCFb9Zu3bpJe9lAAUROJqtl7EAyge/kkdTOnWZuR2tq+K52FbyCbTjIFCtQBMT5
E+rldEerohCPkwDY0myA6PSK4KJn37vwZ0dVLSJ/LuuswfCLkaUryY2NLqqZEIRrSS+5eDLPSger
PvegAulzEEJ6oTflekP1OOXOwqCkL5mPzOyJXEN2seBtiyWBBbX/eSOO1zYhMViyDEEPOJmDx58y
7iw4BluWtXxDXR6DWhtDWnvr5QCy4t2UiwxHbhB+3ngfrrUH99ma8ZG4sdBjNzl7GJssTCyOueRH
MIv5jxk91Ok+lWnGrKmGgi4NzdhawTuIKWjJUZIAxz9G3UTc1Rm4854OdNIgRHB/YDmFAV9PaS9d
TajsicnhsUflVeX7NlpY+kdgPHhA6iomj3rZeu1Um9Sqthr48Rs9gDvFoH2aoIdD95tN/YgmuzZL
MrLjub224Uy0AwOymht3kFiKgZydyGxxbstZfxkC+iN51XOZnaR5u4y34RKt8pROuVMfY+lyp+Bg
s3zyA3rsE6ETrEXHxyS+EsSqcmhNJupiIUycmV9ujUuV0WQ/HUBZEKRI+MdwK6lcufU+ySZzC3y5
WNTpah66W5dZZ1t2GbZvGxWv3Hj9KS5Z6FySbFb/nLctU1o4o3n0sUVAocE4dkyV2qMs5VeXUU9x
hF9cNSsK3JYJWIppxFZ3qSQa+vDhUWGnM5B7bfXodYu5oSNMayIHgpAm0W2cyqzK96tGf1MzgjsB
2JqGThQ4bwusaAcCuMIa5uuSKnPPnMAA5cHOQjqvTjZyFLzvH77ybVWNMhVOcgGsFJA/OC66r6vI
um/b2Fah+hqEs+nevCyNGulGjq733+73r0KKiBwXa1WX4rn9prLq5lm/TlQnvtLJNvGpC30PZfqF
YE3sev+7nquBv+B/I4fSceQAhI+A5//elZK2I+u5rryvi9eMXGTGvEFLBaUHP2cb5qD1OQvXsCNo
jFgkYHWGHv6A1StIEe7dVCFMZyPhymtiz0tk/tn7aEVmrggtwvCcCVE4zPzp/cf/bahQs7BJbB2k
lRzYgebnv3QZFpE2Kpuj4FEVzsJzcECZayGHK1eo97/qtzXnURhG4zWkEwRp4m29mzSqcFsSqEdo
nh4mbamOy/nBWUGRuFzSMyTE/vByb1soDhODGi1Yf6qm7m8AYgG9NM6o3z8iDWJilFrYbDdjQWS/
y1zIFBqTJPJ9kgnNn7/XkBPFtTEfD/6AZX47zHRNA2SzTFeV7Ya56ethniHJT3OSeV+oSXB11HlO
lSpGGpUI+M9G2YUowtt6cBsiOkhvi9cViWHs4YrwBXZ9BIW0r83VvCi5qR2RXDZZ4/tfaKTlf13/
bkAbLAYB7wV0+CgfvX41SL8rwUSLL6KlT5TvBdQvwhxBUTOvqRjQGt/kRaZBqURVkHMyvv8Az5SN
V08QsogN0RFRhohXd18/AbfEvHb6qEXZ2tZZu6eXheo9VY88KU9e0pZJ5CY1hjRn4vfPorgF8YPr
RRMqGM2n88vgNDj6MEaU/jW7uEOVjNvCWgNA8sgjUE+Xu9hTVoycu1MponU0B+awnDANgsCdpzYb
HwVeeujlTkUjxSNnFsuMHmFFiW4fk8y7CqbhNMSIfleWya3kBEpLIy7jRtxiJLBO5izsC3KbSEIT
5SzuRc9jRS8FeklqT9QE/G6SpjJWzxmf65hkOS0RKqVqA3iJ8Y+zUlCZdKcF2NN53qJQ/weP27fb
mrjnosoWAHMCfvfb0h65WeCSserPXT545KxZj6NMt0swFSb0/ixZvz/jZre8mnBCbfLco4GbhObc
m74yjTINCTOePydZaGqMY5GE1SXMLreyrmxp8wQGGThyiVoADjERoLDN07z/GG/fHCA42HlUrRHN
Yc89t79/iZ0tJNWZucw/Vx3lz7OiEar56FazKy5cqf4Rp9NH3QoSmEelKIRsBtvkzSIP0Usr8l7K
LxMSJusDspFmWYD3NZnV++/lvtnSfHoMXAmaVETnzfPsNx2lbF7sum4n92MrlR3vUsqXKjtAqim4
6RblzOmwoeHd8K+Igg3rcgm85IHLWoDkZE9ZlxIMVx7Tv+9nCNTUEVbfJOpFxg0FyWZ2BWDy3JS1
FsuUAWJEsNiEOMKYMnHV0B25n6Cg8HJWFXAWZRlIbsLKhPsUtyoHzZ/h1LKIo/UBlGrm/8Fk903E
ZgzgdHo2+5Sx/71jGgDTT5pwXD6OTWlO5rSjVVFhQ91xc35/vI1E2q/r2cwpwQvRcais1PXfrue5
66mpOn56H/vd83eNqAZdVQjjmaOJUE8Ieum914B0GIV2aU2V9OefxDSaCoE12wxu4EemnsldsCfS
uY1MqShYVYnTw4Vkq2LzXvRNNZ9ob+TCtIefzvW4wCiRa8nPxh/dItNEsurSZe+ssb3ys6lrzISv
Qcm3INNCOhy9lCbAzZkarxXkZiZLh6xlxnKHwN/tlChMYflnC40dydot6Xlw7qUpVQ5w8E4zUwJ5
f0jj19MXRUaPzrWN5lzAWYgk3OszYeANptju02/15EWfSgEQ/eDSHj2GVdz71PhxlAV7n5zruKjT
Xe8jY96gQfUwZQUI3DYeW5qmmYebszYS2rkaPqbcXyVgXDnlWxzZ3WORlLcNrbZvBlkLg1BYOa7o
URZeo23Qned2IS85kfKV23o+VTsLhZi/VvrIEwJAEIgR105sf0fVsHqwVguzE4XO9byVibjxOZWq
g19b3iWS9tNO9XrY0xOvHzCJ88+wIqFLUPaKcl5XzbTwlFN/ATURoPiSAcMf1wEPSK8X0b3L+fzY
552DpYsIc0oYmZQnbtkiIxd540PhedjmxTb2jjuo+v3naoRzUVu9+BD6OAVQmxqxoRrLA20CbRyK
aS5vlzkBCTv6zXQGnnKv5gRUdpyX5V8jJECq5ini00gxdfdrOVIS8+H4U+2z/C0io7e+0vZXVyv5
Bcg10ppjgBLVgglNFcli7xtH+/dXxOtgzYKgrUwwC0gVDFf3LZymo/wTDUHWPjFfy03iwtHYh3WH
hl4o7PDj+1/2ekO/fFkEUM4c8+RwbzMSuO+kdiJpn6CgNmCEFvveaamvomiCtbrvjdz/sq65pUUY
VX/Ix35b+c+vCVaHlg1B/C1sYgxkghunaJ4wyePiCpULOkbjOQDf3n/J50/6zzH8/Jaw8gAeYERu
mHFv9tjiNpU7gZV5cuaOPeO5HBebjgsPOjR5Hd21bpMaOpeFQnkdJD1Ewr6oT5ASDSGZKmBfgPXC
axGK5Ky1hugj5y28AeqKCk1XkhdXtU2/cZXj38KAbH80oxdftJRnbydXu38lxoRw43SOjSROlV17
UJryjRU1IdWbil6cAw/oaItEP5VdpmgljOLgZIH9aAMR3q7M3x9yoTfMSYbEpAGkQYwL1En3bUrg
4D+++LFen/zRDH5eePmJh5PNcVmXx9ZJ6s+elSy70c1oegwQR48+Wj7t7v2ZCczIv5qZyIA1DR4E
VgTH+JsEyanShvZBHj1lI40DymmoQC5xgPct0s+r2k0+mjtRo7ByQXGrodvTNZjXLcnl1IdYKdVR
Zl2vTuYfvVVTOMM76UtTUE/fisq6xA0mutCePmm9xrunBlpfdxaTtglpjOGnrRbaLmUn023UJ0YQ
hcv3YfaLHzosiysvQiIeBgp+ulnXXzeBqo1ktBy/6jofP0KwrW6tNuaACBdnPniumseNB979fq6T
HCbbYPMC+YL+2qQyWgBROZQ0QjgTP+BAGF/gq+n/5VDVRm+oqoLlD8v+NSyJKWZsMRkh7Q25zUZv
qbgjJWHmPUqfhsIPrqzBKx/6wtMI3w6tfeXMRh3p/el0XgNfn7+S3IArjuOiCw9c7fVh5thuLRqO
zu9wePwzymYYa6ajts4pVJYHGhGKSB9k4qmH9vxQZIu6KIrEvrWmxDu8/yzPRMfXS4tUk/Dpou8N
EvctGFBgPSXjDAuZbKHBwL29S790SHRO2CrrYDPYbkWFo+mQ3VQBtcJdmYfBMQcOu6NOkiRbGp4I
wYgujD4Vqp5M6ZcSemvJ/LIKC3kcPHRKwzGHg4LksL+BeOPOGwnP61kMGRNQgXbKNm7WoD+xGJZD
WSnrEk8Yo5Y8RygCGutqDR2q3ZUBHqMZ0l4IUDpFddHQ5iWj9GDcI79fGxvRGdfSiabnQzBxNSUX
kR+Uu7SneVN7YiNwaLBZibSLtljAyBsvKVpariDqFjqa9JVUWNfZVoJ9uJz7BOX0rkAHdMv4dc6p
oXmJEzvM3L+U6IpPI1JhP/wCWjVchTL9U+Hr9/iDEm8CaA7oGkpKv9X1PJdOaLXM1fc4pD4AkzEp
v4Ly0HQNmTLuVNHTKsf0NGytr3oq5xb06ITv2fuL5O8WLBIRpM0eyFV0h94sWJBSEhuDqP6eNqEe
d88TEq5jXl8UdYhv7Dol9wNyKAfYbZhxJunyOUdRsGedwFP6w8P8zYaNjRoRaEt4u78hdlfcMia8
Z8rvWWSHH4bQkXdubVm7iMLuOefieDXWgzrrESU4rRfPuVRtxEEW1Wq5KaI8BpDcztNFYY3eD5Dz
Q7DBdLb68Ien/C1liELwrgFbHMw0l8o3QzY1qW6SwR+/U/Ueso9kFoHcUknUm1Ha05UbTjjIzXIN
410sgu5HjpguVDVMG+YTNDrlQ5DU2YUdzdVHFz05OiScAgc0yWuGOyujrT/Q7n2Z6P/nWdzrHuWY
x6emaHcQYETxTf2qHkMjyVzS/jvR4vg4PxbF3/yVfzMtAh/FGYM9JiMlMw3d//m3oDbUKyO2za7h
so+mhKFB/KRauO6/yC04CoB7+sj2xxQ8f1ItnPhfEADQnwCnjXADJdZ/IqgdvF6NJA6oD2C7AQgW
KwCOO5NN/1LaoORRryXd8w9S9v246ddGaiBKPKdhueKj7mfiNi9q8Q2vYvc+zyvrzk0QgGt9mK/b
uohRgpYLGqg2988dNkVblVj9Plgm9MBsm88JLdRUN9bUFTelAPePATIKXB2uv4eR9GrfA5y9cC2S
dYSXZ9gXlT7pXF3draW3HuEi4crrWON3YwcA1suf/WtrKfJrDOtQWsulmjHl6vUjIDld7BAAjZxt
DqsDgeRKrIeotocz1B37r6Obl48UwfUNnlXoaNPv/KzFKrZJz51h6+lVfZ9E5mxcvJBOM8rpt1ke
3jrKKgp8A6T7ccSxo/pDDvd8R/jPQfs8BWgURcyqbSc4cZqk4JcpaCiYlFYqww+r8JJTsBzBvncX
CJ7A8NjInjuoaFO4TXLD0eNetNBgMNL+P+7OZLltZFnDr+I4ezIwD4tzFqKoyZJsq23LXjEoiSZA
Yh5IEE9/vgIgm4Bku2+X417ERffC3ZKLqGJmVg5//mk5sQkHMxSOtcfFRlgUX7p1ubupF6Z3q5VG
/MQ9OLkHB5LfeeLmhR1sc1OahUoI6BXB5yBgBPXay5KzMtfjd46TfSoC3byAt+6aYenaR83Tzm3P
hQnRSh+OlOR9u7s3URm+j32CxH//yx1knuBJEjlyqjdQCxgGxaL+phPSI8xISvDk4nDxVRXf/hrs
+hcKCvSzkp0Hk6Vnl2Q4i7kBG7F2EgLTOMv1TX0DblZ5SLYqx8AIturdmgocg5x086/FgT+lmNQV
ABn17Xqi7d95pQVKiQEz701n8ZlUgHbu+n7wmZLlbmZtA5hjo31Em0o2oTNQt04PcVbMayVEpnUo
Mt8qtf4UWeX1Hmq6C/qAzIuDk3FvGAtahSroACtzr80V+heh/vsaJC7lQyPePzLGAlJjSIQfE3Cl
0DnQ1psV8D4sPLgek115Bsi3ukMpt7f2jmmQQb71L7Y6fYQ+czotQng6uDc1+DljHcLO61Tlqe9T
V4rtjXuu1BmBk09Pvh1F1R2VVou0QuRvbkJPT6+BR2j3hyJKVk6QhvT97DPoJyD1TQlRbJVCZJ5f
uFXivyUFrdwsvEP1ngmmuxtzS/8rcJsSPovUqzcXUAZt3FltrLU7Ohaqd3mhcqAA085IJtUXoBrR
TUZ9fgh3+/zeYEbpg0uUdm1Q4Z8p66r6TYJ0YLME6z/5M5GvVPUm8Nb7ssOg78WCjtDJncdgog+F
SwZnQm3uM54gQF27pEnWFbKTxfXjXnPokC/y5DAzmKr6tKFf+jZhUNoVvL7pvZ0aySmcdso5cym/
MIFoewrtZ/gpTFllu8uYIsDEo+g84Lu/jsUMd6VY1/PcXFfzQxhrd5WSbY0TEjcucwImhxvDWwAP
A953BnJHEwY13l5lZlKoc7OYaHNfKVPWrHbVbcZ42g+N2CablNK9bx1ustRUr9UkXnyDaFr54kzC
nOhXze+jSZ3e+rmfQYeZePjVOiTWD5GyPU9jiC9nQMlLqhFlaZ0bh3prz7eO57xzFLDX81+r7qDZ
Sxw/7NwObpYlyLUo8PaPf5+qOVM6s8WdliUWdIgqYMVDlk7+2tQuO1AZiTaz0nzycXPw8dRNCJYh
0swirzp3SJQdQOFVnIwWpIsrZ7tLltudlR1gGd0zqSFh0OHXzDiwGYIh9TL1y8lvIpvXNmCI6xXP
mXuZOlp/AxHUSpnqrW0IV+pijsdf3abJen2WAgrPYKrAzixIeL7Hy8TERJ45mcMwkSyVhWK+VffW
4hu6p2OYD/FSr2z12gK4dQUmj4biNHAWHwM7JQnjRevA+Y3DPegBaQ6f/ktq0cSlgmB08O77kBEU
tbE37+LSNBmcBRnBN6SZ4ZBAJQKKrH59w0jF6l1g76LzIhREHVoUQdqb+LurOHT82d7VssvA3GeX
sZ1OPoKncs/dvVEAPWOkwbvaySlBa+x/HwLGPCnyff4NnErCV+QbD/liX14qde3ANpFC3VMa+210
bu9ob4aCsz6ptAwzVJaLe41+v4uJM3GuqHNpQERt6yzI9fVZQkPzV8ZtwNG/3y0u/YOXzevIjpxZ
oWnViqQl9koLDeaG5Ymmzms9obMm3gJ+zC5yABTpiU67+mVg7BZfIxtVxyeo3jeqt3An66cMLujd
HGwJrxdtF1d1lWl3NPMQoYQbfQcHekq3NoTaZxvFW3xF8nYrIwiFBRFHs7EXV6UfMRpNqTk+ODe0
u8TPlJMDiTAwSFoNB21q+V/scPPIII/4Ml17FQSxGmPjM203mzAC+5quk/zUtIPqlpCSu+TXWoiT
iJT+cBuQBBrZ8BmgYDUbd3DgNmCrwUVROrijJlrYM0ZZe9VJY5tpQk3P4VwgV+It2IBX0+KCK5Ys
La2oP9QqNmm+DnNmxKX2qRdsgqvUD/I9TDWKv53tJhs/PFmvo7Mi3Qp1hXzz4UDy4ZNoWHvQ9sZu
Vfq2MTmlpTFkqqPnxHS4447d7GjmmBNHH5ADA3Kpk0APFsFZoC5i5YS5GOWFs55Up4c6sZlqHX5i
kBC0OraXH4LZBJYeN7UmH8iyHvaneamUT8C3MZFwiZNGSOOLSq2ZfSF69O3AFy6n+F6ZCV3c59X2
wpzAdHJawQ81d/XDvZok0akO/f8J7+OBDdugEO7aQFg3Wm7MALHYj+RgwtMMfPIV08+Vi9oF0Ajj
T52e1yng4RuNlnVmUZdb7zP3gP85n2wgLa6pdTmE/+HmPncMF0wUPanrCw+/pZqFOtbgJAff9TSB
G/BustsLByer4isFAtrzCU1Fp1lNlZZem7KYF4yIU9juFpMX0GKg0IaU8edFQX/NycHT6oWgAzMM
5jyp0cc1qOXLhWJw69TqRn/waPU6zNaqlWzfTopCuD/u4cO6ADM/Z9y08hBCtgTBPnPcThm3riqz
SVSr12tzv706IAgOqRRotAAEefHMVHX9i8rECYgCmaD9AfA36GrV3lQM3y53F4wDhIY7p4Pkm0Z9
BZxWPZkHZbilrmctVEF9Wu/nxm7n0q5h0VQE8bx9ss8mSKEPSCM+qdYZ0ycgEDkxk4VyymiX4Jtt
7+/gQxEEtriti5M9+HQ6qbfhrW2H3nsttPczLgOXk4HZ+UOjSP9vIttuI4LsdN6MhftQrrLD3Son
z5o/z08WP21c7Y/xP/ulXy/Usaz+LlaGXRIj1IuVm5dq3vhXawSAjoryiUBcd6bUvAl8BfGeeFgw
iCPKA82PJ64zZZYUvUuiFiEenA8+8OiQfnYMv95he56//p3eDh7jMirE97D24x7frCZQK3/nDAYr
HJ2BOzUFxkWkspqHO753BgzuA+xGUprudPG0H/i/fwY/zZrQJyMtCGxSwSNgBGi7STIgx4dgm1N4
IoDzqdCNiofExf+JIPz0ECAkbd+pJdn+rqL/E20wpk1pkQpfu0mk/fgQVFWd0iMILovecvG0pz4i
SSAjLBKcf0cfBgf5Qx8MZUrUrxrMe2tPgQWPT8Fxp3yMBXXBD1EZmSgoCjosdQi6NrX5qsE2DmTA
sabkUvCJSHi3z9gUgVDLkjUHhjaF+F2DwkRrBF2c57EMYA4I5kCdPGtKm7QdkyYwTVVWBkglCz4S
GqFfVQQYzKnOQzdKdrh5RmcTCVWw43KKYE8107CA4pEuFQ+neiwJoLSnsPeJmhgkyuIZnT4ojBWX
PQWqAADRuRz7u7etqU1lCV3pbozW7oxID2AKkr4Q1KkpUD5g6V4VASisbL0ZXjo6BbAtAa6RUwC+
esD1pphJ0TxDBVDMqcD+4SCOTvIZMkD9S277fLnQOAD/brVb6Pex/uMN4A3R3wA2o3lGdxNA0AOM
R+4QRBGQ71gVkyiOd28zqYK0pgt2uD2e0cUG6KwmKwMG88lB3fHP0A3Q8Ic1mKvgd2qe0RkAMInS
3z4OMR14Jum/1wNEBxUhOwiVV3cDju4KBEYvyqBSOqA5UxKftLQBW2+egR3kFLhnmSFPX1jzjM8c
Co9e8hQMIkAQRmSAO3M4CI4gbTRFkVVEic0zulOgF020EknJAtERCFjmDYCneVUWdEgtyadAJjlS
WVCp6bRfzT9PF2AWMfsKSMVO7weyoKoGdyNNjACkmgMfkVtIBO/IWgQdUlN2zs3w41s+vhwJlelf
QxeA1TTP+C5Hiy5dSV0QobJLpx4os1bjh1Kg2FNhNhlO2OVTxiYLdIVo0l6yOwWXCExb675rhOtY
FprUmQ26V7NG5yAKPPcfkAKgYzTrgQ9vnoGn5OokmRUFGEX389GdAlNjRLOP1L2ARSRN7kIy2on6
y2DBpqOUtMRYfQRw16KDReoUdBSeXAFYw4EpcEwMIpUWIIatqRidQWSqmSN7LerKFFgdsm79cIeP
TYGrklYTNAJOJyQjPAVSvJJCYJiwd4tiwXNBZZBHttwphNIAyWmoa57RnYJgzpFOoZIbATRm0yrY
7nJwCja1BBrLgTa1BRVldGaRIWmGrEbgIpAhxR0Ggtk8g9CJoAG6YooK3TU0Ij+R6Lmr+Ur4yfoU
4gSswXP+cHA3iphJeA4NIlecT+uYjukUyHLLekjcjY5oIiGL1KrCy8sB8aCrUfjU4hmfKpDil40Z
DAuz2HQ1djHDQBVcY0pnnU66YoRCYEpvH7wFZC3Ui+j/b56BmyxKSsy7pdGgE4LRBY5imGGb35Iw
CGRNKSYwqvV1Z5nmcvILnDZjMkcXLKEEsr6BrpNOpmQEBXorBQOD6Ch4SOROCJrGago0ZpnIekiY
fcqGImh8XRfcKW4k2CRKsM0zPl3ATrUv9c91gSQKvBRkB549pMG1ALsXSSRcJOj6m1NoXbIxXY6Q
00iHz2BOdNFnBSCyeQZ20SawpARFC1CrEOPDYIG6kE6x68YUm4D1NzqNGNgFyHCmNDByUKJpiRh1
TFJgUAWXtAg60QJMrKRRWiEYYg1cAmu2r8AO3InB+E4BP1fyFAxuByIiEFZdlmCQRCGBT0KRy6ED
/Y1JCKgEywoB1TbHBW/SGf0XgBNKrjRROgKx2goBBnNcqgBLhRjNLJVDIlqA9RAQ3rOoDwJnzCQt
qwqudFfSGpEUQGylSV+LJjA7rn66ZF+9EKgtiPFMppix/XxhjEwKEAPpU1BB3QpasmdHcRgt4TwA
0UMXOjDi+HSBXHDrw0u4SJh90XlN5PRd448TirYzFebCgJW0/fnoHEWwAaKfSM4i2KAQoEOFirHd
5dAiNNeCSF93seXoXATGu0uDkwmgQeVyCIDummdwCoROFh4ULtKP0Orv2oW/YUK/d4DM6MF/ano/
/FX+WovIz37huefh5c+7fofLp3//SzQ19H5RtIK0n71qmlLEf/+nh+BufMGjHz77hs3ndH+92+DL
j+591vOunv/nhb/KltmjB7E2bSOH7jVvlyH9I8y9fFiGyx4fQwO+/vEmL9gevmvBbxZ+faDm9+3/
w3UzH0aW/gs3jQPSL5xtmVKzzHtH0WCQZVeeLQP/W5xFfu+tW2iv9NpxEGfLp/j4rVvMpPzK8N48
Fv5jWfQWb+CosoufrgJ4QLLV8cptE4z0yh0pyZv425tZTCvdQ//YWzCh7Keccer+U+/77CBasiuf
r+Js3X/lDvAju/LPmVckVfLyaen1BLDD5si+8GUQ+FHs9zWy7Y+RXjp68pcDK9ICaqRXjvd9sWix
CbLLvn1pm9ruQemFWaB83B6ONbGrocsufR2XECwMj7ktUMuufbP0o571oOggSr7y6zL/fBk9Pa/U
XOZt/4H80nm+fGSo+6ooejLdVSil1/cfIQtf9psr27qX/NLcBXlc9CRba6tJ8mvnuc+/SeL3Dr2F
vv+J1eMyGy4t6kDSS8dRMRDurrYiu/Lt6iEbjiMHbSES9vJL75b9e4skhMiByy+8f3OxDJPc8/vX
eleA/hPrX62yfNWzVCRtRer6Tyx+s6r8x9411mWE/8TiX+Ns+/yajUlpW/ykl4ZZyXszW2YxN2Vf
OVvsx5/5gNPldqj7hIJkBWSXf+f5/RNvwf7Sy24DPJJ+VEMfgUhvSy+drdbD/vUmYyy78PtVFMHa
sVsOwgTmEouMrOzyd178tHpzmb+421pIvezyf8XlTwRR5FL/wL3cfsBLQexStbLv/5HTX0HY3XMp
ujSo/NpVP6qEh0skFmXX/VQsvedVhE3pUMCyy35eZSE3W2/ltgVJemWfyGYg3pA8ivSi7NL3S+4d
5hH3VbPL2kkvvsqLN59fe/k2Hya9vp8/xsxP7HluHZpXeu1DDFPn+vmEGzlpMfO/Xvm1TNP3cuXL
/NMzHchrf62fXBO/8Risltl//gsAAP//</cx:binary>
              </cx:geoCache>
            </cx:geography>
          </cx:layoutPr>
          <cx:valueColors>
            <cx:minColor>
              <a:srgbClr val="F8F9FA"/>
            </cx:minColor>
            <cx:maxColor>
              <a:srgbClr val="385F7C"/>
            </cx:maxColor>
          </cx:valueColors>
        </cx:series>
      </cx:plotAreaRegion>
    </cx:plotArea>
    <cx:legend pos="b" align="ctr" overlay="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512748</xdr:colOff>
      <xdr:row>3</xdr:row>
      <xdr:rowOff>73249</xdr:rowOff>
    </xdr:from>
    <xdr:to>
      <xdr:col>32</xdr:col>
      <xdr:colOff>476123</xdr:colOff>
      <xdr:row>45</xdr:row>
      <xdr:rowOff>12209</xdr:rowOff>
    </xdr:to>
    <xdr:sp macro="" textlink="">
      <xdr:nvSpPr>
        <xdr:cNvPr id="5" name="Rectangle: Rounded Corners 1">
          <a:extLst>
            <a:ext uri="{FF2B5EF4-FFF2-40B4-BE49-F238E27FC236}">
              <a16:creationId xmlns:a16="http://schemas.microsoft.com/office/drawing/2014/main" id="{F584C157-DE0E-8731-5A4D-872ACDCFE2E2}"/>
            </a:ext>
          </a:extLst>
        </xdr:cNvPr>
        <xdr:cNvSpPr/>
      </xdr:nvSpPr>
      <xdr:spPr>
        <a:xfrm>
          <a:off x="2343989" y="622622"/>
          <a:ext cx="17665378" cy="7630174"/>
        </a:xfrm>
        <a:prstGeom prst="roundRect">
          <a:avLst>
            <a:gd name="adj" fmla="val 5658"/>
          </a:avLst>
        </a:prstGeom>
        <a:solidFill>
          <a:srgbClr val="3257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122082</xdr:colOff>
      <xdr:row>4</xdr:row>
      <xdr:rowOff>122081</xdr:rowOff>
    </xdr:from>
    <xdr:to>
      <xdr:col>32</xdr:col>
      <xdr:colOff>146500</xdr:colOff>
      <xdr:row>44</xdr:row>
      <xdr:rowOff>24416</xdr:rowOff>
    </xdr:to>
    <xdr:sp macro="" textlink="">
      <xdr:nvSpPr>
        <xdr:cNvPr id="7" name="Rectangle: Rounded Corners 2">
          <a:extLst>
            <a:ext uri="{FF2B5EF4-FFF2-40B4-BE49-F238E27FC236}">
              <a16:creationId xmlns:a16="http://schemas.microsoft.com/office/drawing/2014/main" id="{28FE62B8-585D-4AE6-A6DA-A97B4FA3FE50}"/>
            </a:ext>
          </a:extLst>
        </xdr:cNvPr>
        <xdr:cNvSpPr/>
      </xdr:nvSpPr>
      <xdr:spPr>
        <a:xfrm>
          <a:off x="2563738" y="854578"/>
          <a:ext cx="17116006" cy="7227301"/>
        </a:xfrm>
        <a:prstGeom prst="roundRect">
          <a:avLst>
            <a:gd name="adj" fmla="val 5658"/>
          </a:avLst>
        </a:prstGeom>
        <a:solidFill>
          <a:srgbClr val="84AA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280790</xdr:colOff>
      <xdr:row>9</xdr:row>
      <xdr:rowOff>146501</xdr:rowOff>
    </xdr:from>
    <xdr:to>
      <xdr:col>13</xdr:col>
      <xdr:colOff>561582</xdr:colOff>
      <xdr:row>19</xdr:row>
      <xdr:rowOff>170917</xdr:rowOff>
    </xdr:to>
    <xdr:sp macro="" textlink="">
      <xdr:nvSpPr>
        <xdr:cNvPr id="8" name="Rectangle: Rounded Corners 7">
          <a:extLst>
            <a:ext uri="{FF2B5EF4-FFF2-40B4-BE49-F238E27FC236}">
              <a16:creationId xmlns:a16="http://schemas.microsoft.com/office/drawing/2014/main" id="{8E2B652A-4C35-2F4B-E212-70958B633CAC}"/>
            </a:ext>
          </a:extLst>
        </xdr:cNvPr>
        <xdr:cNvSpPr/>
      </xdr:nvSpPr>
      <xdr:spPr>
        <a:xfrm>
          <a:off x="2722446" y="1794618"/>
          <a:ext cx="5774516" cy="1855658"/>
        </a:xfrm>
        <a:prstGeom prst="roundRect">
          <a:avLst>
            <a:gd name="adj" fmla="val 9868"/>
          </a:avLst>
        </a:prstGeom>
        <a:solidFill>
          <a:srgbClr val="F8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297224</xdr:colOff>
      <xdr:row>20</xdr:row>
      <xdr:rowOff>138517</xdr:rowOff>
    </xdr:from>
    <xdr:to>
      <xdr:col>14</xdr:col>
      <xdr:colOff>28643</xdr:colOff>
      <xdr:row>42</xdr:row>
      <xdr:rowOff>175142</xdr:rowOff>
    </xdr:to>
    <xdr:sp macro="" textlink="">
      <xdr:nvSpPr>
        <xdr:cNvPr id="9" name="Rectangle: Rounded Corners 8">
          <a:extLst>
            <a:ext uri="{FF2B5EF4-FFF2-40B4-BE49-F238E27FC236}">
              <a16:creationId xmlns:a16="http://schemas.microsoft.com/office/drawing/2014/main" id="{781333E4-2A83-459C-88C9-88FC146CF648}"/>
            </a:ext>
          </a:extLst>
        </xdr:cNvPr>
        <xdr:cNvSpPr/>
      </xdr:nvSpPr>
      <xdr:spPr>
        <a:xfrm>
          <a:off x="2766010" y="3746741"/>
          <a:ext cx="5903381" cy="4005672"/>
        </a:xfrm>
        <a:prstGeom prst="roundRect">
          <a:avLst>
            <a:gd name="adj" fmla="val 5917"/>
          </a:avLst>
        </a:prstGeom>
        <a:solidFill>
          <a:srgbClr val="F8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183125</xdr:colOff>
      <xdr:row>9</xdr:row>
      <xdr:rowOff>97666</xdr:rowOff>
    </xdr:from>
    <xdr:to>
      <xdr:col>23</xdr:col>
      <xdr:colOff>360348</xdr:colOff>
      <xdr:row>24</xdr:row>
      <xdr:rowOff>109875</xdr:rowOff>
    </xdr:to>
    <xdr:sp macro="" textlink="">
      <xdr:nvSpPr>
        <xdr:cNvPr id="10" name="Rectangle: Rounded Corners 9">
          <a:extLst>
            <a:ext uri="{FF2B5EF4-FFF2-40B4-BE49-F238E27FC236}">
              <a16:creationId xmlns:a16="http://schemas.microsoft.com/office/drawing/2014/main" id="{7EA2DFAE-36A1-4993-ADC1-82BF04D922A2}"/>
            </a:ext>
          </a:extLst>
        </xdr:cNvPr>
        <xdr:cNvSpPr/>
      </xdr:nvSpPr>
      <xdr:spPr>
        <a:xfrm>
          <a:off x="8728919" y="1745783"/>
          <a:ext cx="5670949" cy="2759072"/>
        </a:xfrm>
        <a:prstGeom prst="roundRect">
          <a:avLst>
            <a:gd name="adj" fmla="val 4415"/>
          </a:avLst>
        </a:prstGeom>
        <a:solidFill>
          <a:srgbClr val="F8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134292</xdr:colOff>
      <xdr:row>25</xdr:row>
      <xdr:rowOff>158707</xdr:rowOff>
    </xdr:from>
    <xdr:to>
      <xdr:col>23</xdr:col>
      <xdr:colOff>311515</xdr:colOff>
      <xdr:row>43</xdr:row>
      <xdr:rowOff>0</xdr:rowOff>
    </xdr:to>
    <xdr:sp macro="" textlink="">
      <xdr:nvSpPr>
        <xdr:cNvPr id="11" name="Rectangle: Rounded Corners 10">
          <a:extLst>
            <a:ext uri="{FF2B5EF4-FFF2-40B4-BE49-F238E27FC236}">
              <a16:creationId xmlns:a16="http://schemas.microsoft.com/office/drawing/2014/main" id="{3F09521C-C814-4E87-B814-FCBD94BCB9F8}"/>
            </a:ext>
          </a:extLst>
        </xdr:cNvPr>
        <xdr:cNvSpPr/>
      </xdr:nvSpPr>
      <xdr:spPr>
        <a:xfrm>
          <a:off x="8680086" y="4736811"/>
          <a:ext cx="5670949" cy="3137528"/>
        </a:xfrm>
        <a:prstGeom prst="roundRect">
          <a:avLst>
            <a:gd name="adj" fmla="val 4428"/>
          </a:avLst>
        </a:prstGeom>
        <a:solidFill>
          <a:srgbClr val="F8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561580</xdr:colOff>
      <xdr:row>10</xdr:row>
      <xdr:rowOff>12208</xdr:rowOff>
    </xdr:from>
    <xdr:to>
      <xdr:col>31</xdr:col>
      <xdr:colOff>561581</xdr:colOff>
      <xdr:row>42</xdr:row>
      <xdr:rowOff>181993</xdr:rowOff>
    </xdr:to>
    <xdr:sp macro="" textlink="">
      <xdr:nvSpPr>
        <xdr:cNvPr id="12" name="Rectangle: Rounded Corners 11">
          <a:extLst>
            <a:ext uri="{FF2B5EF4-FFF2-40B4-BE49-F238E27FC236}">
              <a16:creationId xmlns:a16="http://schemas.microsoft.com/office/drawing/2014/main" id="{679274AE-6DE3-4946-8618-D46D5660641D}"/>
            </a:ext>
          </a:extLst>
        </xdr:cNvPr>
        <xdr:cNvSpPr/>
      </xdr:nvSpPr>
      <xdr:spPr>
        <a:xfrm>
          <a:off x="14757094" y="1832146"/>
          <a:ext cx="4937571" cy="5993585"/>
        </a:xfrm>
        <a:prstGeom prst="roundRect">
          <a:avLst>
            <a:gd name="adj" fmla="val 4415"/>
          </a:avLst>
        </a:prstGeom>
        <a:solidFill>
          <a:srgbClr val="F8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372150</xdr:colOff>
      <xdr:row>10</xdr:row>
      <xdr:rowOff>73249</xdr:rowOff>
    </xdr:from>
    <xdr:to>
      <xdr:col>7</xdr:col>
      <xdr:colOff>268583</xdr:colOff>
      <xdr:row>19</xdr:row>
      <xdr:rowOff>97666</xdr:rowOff>
    </xdr:to>
    <xdr:sp macro="" textlink="">
      <xdr:nvSpPr>
        <xdr:cNvPr id="13" name="Rectangle: Rounded Corners 12">
          <a:extLst>
            <a:ext uri="{FF2B5EF4-FFF2-40B4-BE49-F238E27FC236}">
              <a16:creationId xmlns:a16="http://schemas.microsoft.com/office/drawing/2014/main" id="{27995F85-759E-447B-8F85-71B45E866073}"/>
            </a:ext>
          </a:extLst>
        </xdr:cNvPr>
        <xdr:cNvSpPr/>
      </xdr:nvSpPr>
      <xdr:spPr>
        <a:xfrm>
          <a:off x="2813806" y="1904490"/>
          <a:ext cx="1727674" cy="1672535"/>
        </a:xfrm>
        <a:prstGeom prst="roundRect">
          <a:avLst>
            <a:gd name="adj" fmla="val 4415"/>
          </a:avLst>
        </a:prstGeom>
        <a:solidFill>
          <a:srgbClr val="F0F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426885</xdr:colOff>
      <xdr:row>10</xdr:row>
      <xdr:rowOff>79149</xdr:rowOff>
    </xdr:from>
    <xdr:to>
      <xdr:col>10</xdr:col>
      <xdr:colOff>323317</xdr:colOff>
      <xdr:row>19</xdr:row>
      <xdr:rowOff>103566</xdr:rowOff>
    </xdr:to>
    <xdr:sp macro="" textlink="">
      <xdr:nvSpPr>
        <xdr:cNvPr id="14" name="Rectangle: Rounded Corners 13">
          <a:extLst>
            <a:ext uri="{FF2B5EF4-FFF2-40B4-BE49-F238E27FC236}">
              <a16:creationId xmlns:a16="http://schemas.microsoft.com/office/drawing/2014/main" id="{A76D63D4-F060-4917-9A52-E2F1E0B62BDA}"/>
            </a:ext>
          </a:extLst>
        </xdr:cNvPr>
        <xdr:cNvSpPr/>
      </xdr:nvSpPr>
      <xdr:spPr>
        <a:xfrm>
          <a:off x="4699782" y="1910390"/>
          <a:ext cx="1727674" cy="1672535"/>
        </a:xfrm>
        <a:prstGeom prst="roundRect">
          <a:avLst>
            <a:gd name="adj" fmla="val 4415"/>
          </a:avLst>
        </a:prstGeom>
        <a:solidFill>
          <a:srgbClr val="F0F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506034</xdr:colOff>
      <xdr:row>10</xdr:row>
      <xdr:rowOff>60634</xdr:rowOff>
    </xdr:from>
    <xdr:to>
      <xdr:col>13</xdr:col>
      <xdr:colOff>402467</xdr:colOff>
      <xdr:row>19</xdr:row>
      <xdr:rowOff>85051</xdr:rowOff>
    </xdr:to>
    <xdr:sp macro="" textlink="">
      <xdr:nvSpPr>
        <xdr:cNvPr id="15" name="Rectangle: Rounded Corners 14">
          <a:extLst>
            <a:ext uri="{FF2B5EF4-FFF2-40B4-BE49-F238E27FC236}">
              <a16:creationId xmlns:a16="http://schemas.microsoft.com/office/drawing/2014/main" id="{67A846CA-50AB-4FF8-993E-4ACEA94EE29F}"/>
            </a:ext>
          </a:extLst>
        </xdr:cNvPr>
        <xdr:cNvSpPr/>
      </xdr:nvSpPr>
      <xdr:spPr>
        <a:xfrm>
          <a:off x="6610173" y="1891875"/>
          <a:ext cx="1727674" cy="1672535"/>
        </a:xfrm>
        <a:prstGeom prst="roundRect">
          <a:avLst>
            <a:gd name="adj" fmla="val 4415"/>
          </a:avLst>
        </a:prstGeom>
        <a:solidFill>
          <a:srgbClr val="F0F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268581</xdr:colOff>
      <xdr:row>5</xdr:row>
      <xdr:rowOff>134290</xdr:rowOff>
    </xdr:from>
    <xdr:to>
      <xdr:col>11</xdr:col>
      <xdr:colOff>122082</xdr:colOff>
      <xdr:row>8</xdr:row>
      <xdr:rowOff>24416</xdr:rowOff>
    </xdr:to>
    <xdr:sp macro="" textlink="">
      <xdr:nvSpPr>
        <xdr:cNvPr id="16" name="TextBox 15">
          <a:extLst>
            <a:ext uri="{FF2B5EF4-FFF2-40B4-BE49-F238E27FC236}">
              <a16:creationId xmlns:a16="http://schemas.microsoft.com/office/drawing/2014/main" id="{EE405E72-C007-AECF-273A-BEA73C3FE15C}"/>
            </a:ext>
          </a:extLst>
        </xdr:cNvPr>
        <xdr:cNvSpPr txBox="1"/>
      </xdr:nvSpPr>
      <xdr:spPr>
        <a:xfrm>
          <a:off x="2710237" y="1049911"/>
          <a:ext cx="4126398" cy="439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2C4B62"/>
              </a:solidFill>
            </a:rPr>
            <a:t>FURNITURE</a:t>
          </a:r>
          <a:r>
            <a:rPr lang="en-US" sz="2400" b="1" baseline="0">
              <a:solidFill>
                <a:srgbClr val="2C4B62"/>
              </a:solidFill>
            </a:rPr>
            <a:t> SALES OVERVIEW</a:t>
          </a:r>
          <a:endParaRPr lang="en-US" sz="2400" b="1">
            <a:solidFill>
              <a:srgbClr val="2C4B62"/>
            </a:solidFill>
          </a:endParaRPr>
        </a:p>
      </xdr:txBody>
    </xdr:sp>
    <xdr:clientData/>
  </xdr:twoCellAnchor>
  <xdr:twoCellAnchor>
    <xdr:from>
      <xdr:col>4</xdr:col>
      <xdr:colOff>256373</xdr:colOff>
      <xdr:row>7</xdr:row>
      <xdr:rowOff>146500</xdr:rowOff>
    </xdr:from>
    <xdr:to>
      <xdr:col>14</xdr:col>
      <xdr:colOff>219748</xdr:colOff>
      <xdr:row>9</xdr:row>
      <xdr:rowOff>85458</xdr:rowOff>
    </xdr:to>
    <xdr:sp macro="" textlink="">
      <xdr:nvSpPr>
        <xdr:cNvPr id="17" name="TextBox 16">
          <a:extLst>
            <a:ext uri="{FF2B5EF4-FFF2-40B4-BE49-F238E27FC236}">
              <a16:creationId xmlns:a16="http://schemas.microsoft.com/office/drawing/2014/main" id="{E2E4B320-B360-6687-516B-6585B08CFB9F}"/>
            </a:ext>
          </a:extLst>
        </xdr:cNvPr>
        <xdr:cNvSpPr txBox="1"/>
      </xdr:nvSpPr>
      <xdr:spPr>
        <a:xfrm>
          <a:off x="2698029" y="1428369"/>
          <a:ext cx="6067513" cy="305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 Summary of sales performance,</a:t>
          </a:r>
          <a:r>
            <a:rPr lang="en-US" sz="1200" b="1" baseline="0"/>
            <a:t> shipping trends and regional distribution across the US</a:t>
          </a:r>
          <a:r>
            <a:rPr lang="en-US" sz="1100" baseline="0"/>
            <a:t>.</a:t>
          </a:r>
          <a:endParaRPr lang="en-US" sz="1100"/>
        </a:p>
      </xdr:txBody>
    </xdr:sp>
    <xdr:clientData/>
  </xdr:twoCellAnchor>
  <xdr:twoCellAnchor>
    <xdr:from>
      <xdr:col>11</xdr:col>
      <xdr:colOff>549374</xdr:colOff>
      <xdr:row>10</xdr:row>
      <xdr:rowOff>73250</xdr:rowOff>
    </xdr:from>
    <xdr:to>
      <xdr:col>13</xdr:col>
      <xdr:colOff>48834</xdr:colOff>
      <xdr:row>11</xdr:row>
      <xdr:rowOff>170916</xdr:rowOff>
    </xdr:to>
    <xdr:sp macro="" textlink="">
      <xdr:nvSpPr>
        <xdr:cNvPr id="18" name="TextBox 17">
          <a:extLst>
            <a:ext uri="{FF2B5EF4-FFF2-40B4-BE49-F238E27FC236}">
              <a16:creationId xmlns:a16="http://schemas.microsoft.com/office/drawing/2014/main" id="{4F4A4D9B-BFFE-6AFE-87FA-324F1899DA79}"/>
            </a:ext>
          </a:extLst>
        </xdr:cNvPr>
        <xdr:cNvSpPr txBox="1"/>
      </xdr:nvSpPr>
      <xdr:spPr>
        <a:xfrm>
          <a:off x="7263927" y="1904491"/>
          <a:ext cx="720287" cy="280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85F7C"/>
              </a:solidFill>
            </a:rPr>
            <a:t>Profit</a:t>
          </a:r>
          <a:endParaRPr lang="en-US" sz="1600" b="1">
            <a:solidFill>
              <a:srgbClr val="385F7C"/>
            </a:solidFill>
          </a:endParaRPr>
        </a:p>
      </xdr:txBody>
    </xdr:sp>
    <xdr:clientData/>
  </xdr:twoCellAnchor>
  <xdr:twoCellAnchor>
    <xdr:from>
      <xdr:col>8</xdr:col>
      <xdr:colOff>463914</xdr:colOff>
      <xdr:row>10</xdr:row>
      <xdr:rowOff>109874</xdr:rowOff>
    </xdr:from>
    <xdr:to>
      <xdr:col>10</xdr:col>
      <xdr:colOff>61041</xdr:colOff>
      <xdr:row>11</xdr:row>
      <xdr:rowOff>170916</xdr:rowOff>
    </xdr:to>
    <xdr:sp macro="" textlink="">
      <xdr:nvSpPr>
        <xdr:cNvPr id="21" name="TextBox 20">
          <a:extLst>
            <a:ext uri="{FF2B5EF4-FFF2-40B4-BE49-F238E27FC236}">
              <a16:creationId xmlns:a16="http://schemas.microsoft.com/office/drawing/2014/main" id="{2DDF0CAA-B007-465F-96EA-11A4FB89947D}"/>
            </a:ext>
          </a:extLst>
        </xdr:cNvPr>
        <xdr:cNvSpPr txBox="1"/>
      </xdr:nvSpPr>
      <xdr:spPr>
        <a:xfrm>
          <a:off x="5347225" y="1941115"/>
          <a:ext cx="817955" cy="244167"/>
        </a:xfrm>
        <a:prstGeom prst="rect">
          <a:avLst/>
        </a:prstGeom>
        <a:solidFill>
          <a:srgbClr val="F0F4F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85F7C"/>
              </a:solidFill>
            </a:rPr>
            <a:t>Sales</a:t>
          </a:r>
        </a:p>
      </xdr:txBody>
    </xdr:sp>
    <xdr:clientData/>
  </xdr:twoCellAnchor>
  <xdr:oneCellAnchor>
    <xdr:from>
      <xdr:col>5</xdr:col>
      <xdr:colOff>122081</xdr:colOff>
      <xdr:row>10</xdr:row>
      <xdr:rowOff>73251</xdr:rowOff>
    </xdr:from>
    <xdr:ext cx="748731" cy="280205"/>
    <xdr:sp macro="" textlink="">
      <xdr:nvSpPr>
        <xdr:cNvPr id="22" name="TextBox 21">
          <a:extLst>
            <a:ext uri="{FF2B5EF4-FFF2-40B4-BE49-F238E27FC236}">
              <a16:creationId xmlns:a16="http://schemas.microsoft.com/office/drawing/2014/main" id="{9BEA3F29-2E4F-F758-D533-DE194A122F50}"/>
            </a:ext>
          </a:extLst>
        </xdr:cNvPr>
        <xdr:cNvSpPr txBox="1"/>
      </xdr:nvSpPr>
      <xdr:spPr>
        <a:xfrm>
          <a:off x="3174151" y="1904492"/>
          <a:ext cx="748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385F7C"/>
              </a:solidFill>
            </a:rPr>
            <a:t>Quantity</a:t>
          </a:r>
          <a:endParaRPr lang="en-US" sz="1600" b="1">
            <a:solidFill>
              <a:srgbClr val="385F7C"/>
            </a:solidFill>
          </a:endParaRPr>
        </a:p>
      </xdr:txBody>
    </xdr:sp>
    <xdr:clientData/>
  </xdr:oneCellAnchor>
  <xdr:twoCellAnchor>
    <xdr:from>
      <xdr:col>14</xdr:col>
      <xdr:colOff>170916</xdr:colOff>
      <xdr:row>9</xdr:row>
      <xdr:rowOff>48833</xdr:rowOff>
    </xdr:from>
    <xdr:to>
      <xdr:col>16</xdr:col>
      <xdr:colOff>97666</xdr:colOff>
      <xdr:row>10</xdr:row>
      <xdr:rowOff>170916</xdr:rowOff>
    </xdr:to>
    <xdr:sp macro="" textlink="">
      <xdr:nvSpPr>
        <xdr:cNvPr id="23" name="TextBox 22">
          <a:extLst>
            <a:ext uri="{FF2B5EF4-FFF2-40B4-BE49-F238E27FC236}">
              <a16:creationId xmlns:a16="http://schemas.microsoft.com/office/drawing/2014/main" id="{D33D8678-65F5-2DB1-7120-158A1A32844E}"/>
            </a:ext>
          </a:extLst>
        </xdr:cNvPr>
        <xdr:cNvSpPr txBox="1"/>
      </xdr:nvSpPr>
      <xdr:spPr>
        <a:xfrm>
          <a:off x="8716710" y="1696950"/>
          <a:ext cx="1147579" cy="30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385F7C"/>
              </a:solidFill>
            </a:rPr>
            <a:t>Sales</a:t>
          </a:r>
          <a:r>
            <a:rPr lang="en-US" sz="1200" b="1">
              <a:solidFill>
                <a:srgbClr val="385F7C"/>
              </a:solidFill>
            </a:rPr>
            <a:t> Trend</a:t>
          </a:r>
        </a:p>
      </xdr:txBody>
    </xdr:sp>
    <xdr:clientData/>
  </xdr:twoCellAnchor>
  <xdr:twoCellAnchor>
    <xdr:from>
      <xdr:col>4</xdr:col>
      <xdr:colOff>317415</xdr:colOff>
      <xdr:row>20</xdr:row>
      <xdr:rowOff>134293</xdr:rowOff>
    </xdr:from>
    <xdr:to>
      <xdr:col>7</xdr:col>
      <xdr:colOff>280792</xdr:colOff>
      <xdr:row>22</xdr:row>
      <xdr:rowOff>24418</xdr:rowOff>
    </xdr:to>
    <xdr:sp macro="" textlink="">
      <xdr:nvSpPr>
        <xdr:cNvPr id="24" name="TextBox 23">
          <a:extLst>
            <a:ext uri="{FF2B5EF4-FFF2-40B4-BE49-F238E27FC236}">
              <a16:creationId xmlns:a16="http://schemas.microsoft.com/office/drawing/2014/main" id="{90BEA8FF-9E4B-4C2B-BD13-E8F2F596EBBA}"/>
            </a:ext>
          </a:extLst>
        </xdr:cNvPr>
        <xdr:cNvSpPr txBox="1"/>
      </xdr:nvSpPr>
      <xdr:spPr>
        <a:xfrm>
          <a:off x="2759071" y="3796776"/>
          <a:ext cx="1794618" cy="256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85F7C"/>
              </a:solidFill>
            </a:rPr>
            <a:t>Shipping</a:t>
          </a:r>
          <a:r>
            <a:rPr lang="en-US" sz="1200" b="1" baseline="0">
              <a:solidFill>
                <a:srgbClr val="385F7C"/>
              </a:solidFill>
            </a:rPr>
            <a:t> Mode By State</a:t>
          </a:r>
          <a:endParaRPr lang="en-US" sz="1200" b="1">
            <a:solidFill>
              <a:srgbClr val="385F7C"/>
            </a:solidFill>
          </a:endParaRPr>
        </a:p>
      </xdr:txBody>
    </xdr:sp>
    <xdr:clientData/>
  </xdr:twoCellAnchor>
  <xdr:twoCellAnchor>
    <xdr:from>
      <xdr:col>14</xdr:col>
      <xdr:colOff>109874</xdr:colOff>
      <xdr:row>25</xdr:row>
      <xdr:rowOff>109875</xdr:rowOff>
    </xdr:from>
    <xdr:to>
      <xdr:col>16</xdr:col>
      <xdr:colOff>366247</xdr:colOff>
      <xdr:row>26</xdr:row>
      <xdr:rowOff>158707</xdr:rowOff>
    </xdr:to>
    <xdr:sp macro="" textlink="">
      <xdr:nvSpPr>
        <xdr:cNvPr id="25" name="TextBox 24">
          <a:extLst>
            <a:ext uri="{FF2B5EF4-FFF2-40B4-BE49-F238E27FC236}">
              <a16:creationId xmlns:a16="http://schemas.microsoft.com/office/drawing/2014/main" id="{4B6E69F8-B07B-4042-AAEB-2B7E0DA3ED11}"/>
            </a:ext>
          </a:extLst>
        </xdr:cNvPr>
        <xdr:cNvSpPr txBox="1"/>
      </xdr:nvSpPr>
      <xdr:spPr>
        <a:xfrm>
          <a:off x="8655668" y="4687979"/>
          <a:ext cx="1477202" cy="231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85F7C"/>
              </a:solidFill>
            </a:rPr>
            <a:t>Shipping Duration</a:t>
          </a:r>
        </a:p>
      </xdr:txBody>
    </xdr:sp>
    <xdr:clientData/>
  </xdr:twoCellAnchor>
  <xdr:twoCellAnchor>
    <xdr:from>
      <xdr:col>23</xdr:col>
      <xdr:colOff>561581</xdr:colOff>
      <xdr:row>10</xdr:row>
      <xdr:rowOff>12208</xdr:rowOff>
    </xdr:from>
    <xdr:to>
      <xdr:col>27</xdr:col>
      <xdr:colOff>329625</xdr:colOff>
      <xdr:row>12</xdr:row>
      <xdr:rowOff>146499</xdr:rowOff>
    </xdr:to>
    <xdr:sp macro="" textlink="">
      <xdr:nvSpPr>
        <xdr:cNvPr id="26" name="TextBox 25">
          <a:extLst>
            <a:ext uri="{FF2B5EF4-FFF2-40B4-BE49-F238E27FC236}">
              <a16:creationId xmlns:a16="http://schemas.microsoft.com/office/drawing/2014/main" id="{5BE9D055-0897-49CC-BD63-1315F7A830A5}"/>
            </a:ext>
          </a:extLst>
        </xdr:cNvPr>
        <xdr:cNvSpPr txBox="1"/>
      </xdr:nvSpPr>
      <xdr:spPr>
        <a:xfrm>
          <a:off x="14601101" y="1843449"/>
          <a:ext cx="2209698" cy="50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85F7C"/>
              </a:solidFill>
            </a:rPr>
            <a:t>Shipping Distribution By State </a:t>
          </a:r>
        </a:p>
      </xdr:txBody>
    </xdr:sp>
    <xdr:clientData/>
  </xdr:twoCellAnchor>
  <xdr:twoCellAnchor>
    <xdr:from>
      <xdr:col>8</xdr:col>
      <xdr:colOff>268581</xdr:colOff>
      <xdr:row>12</xdr:row>
      <xdr:rowOff>122082</xdr:rowOff>
    </xdr:from>
    <xdr:to>
      <xdr:col>10</xdr:col>
      <xdr:colOff>175942</xdr:colOff>
      <xdr:row>15</xdr:row>
      <xdr:rowOff>25133</xdr:rowOff>
    </xdr:to>
    <xdr:sp macro="" textlink="Sales">
      <xdr:nvSpPr>
        <xdr:cNvPr id="28" name="TextBox 27">
          <a:extLst>
            <a:ext uri="{FF2B5EF4-FFF2-40B4-BE49-F238E27FC236}">
              <a16:creationId xmlns:a16="http://schemas.microsoft.com/office/drawing/2014/main" id="{1B3C8FAB-8A36-AEF3-C97E-8F7588B3FEFC}"/>
            </a:ext>
          </a:extLst>
        </xdr:cNvPr>
        <xdr:cNvSpPr txBox="1"/>
      </xdr:nvSpPr>
      <xdr:spPr>
        <a:xfrm>
          <a:off x="5194980" y="2233395"/>
          <a:ext cx="1138961" cy="430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9DF307-7239-4335-BD71-560A56932C43}" type="TxLink">
            <a:rPr lang="en-US" sz="2000" b="1" i="0" u="none" strike="noStrike">
              <a:solidFill>
                <a:srgbClr val="385F7C"/>
              </a:solidFill>
              <a:latin typeface="Calibri"/>
              <a:ea typeface="Calibri"/>
              <a:cs typeface="Calibri"/>
            </a:rPr>
            <a:pPr/>
            <a:t>$742.0K</a:t>
          </a:fld>
          <a:endParaRPr lang="en-US" sz="2000" b="1">
            <a:solidFill>
              <a:srgbClr val="385F7C"/>
            </a:solidFill>
          </a:endParaRPr>
        </a:p>
      </xdr:txBody>
    </xdr:sp>
    <xdr:clientData/>
  </xdr:twoCellAnchor>
  <xdr:twoCellAnchor>
    <xdr:from>
      <xdr:col>5</xdr:col>
      <xdr:colOff>158706</xdr:colOff>
      <xdr:row>12</xdr:row>
      <xdr:rowOff>122083</xdr:rowOff>
    </xdr:from>
    <xdr:to>
      <xdr:col>6</xdr:col>
      <xdr:colOff>515259</xdr:colOff>
      <xdr:row>15</xdr:row>
      <xdr:rowOff>12567</xdr:rowOff>
    </xdr:to>
    <xdr:sp macro="" textlink="Quantity">
      <xdr:nvSpPr>
        <xdr:cNvPr id="29" name="TextBox 28">
          <a:extLst>
            <a:ext uri="{FF2B5EF4-FFF2-40B4-BE49-F238E27FC236}">
              <a16:creationId xmlns:a16="http://schemas.microsoft.com/office/drawing/2014/main" id="{1DE387DB-D98A-4C61-9E71-65FCD39997F6}"/>
            </a:ext>
          </a:extLst>
        </xdr:cNvPr>
        <xdr:cNvSpPr txBox="1"/>
      </xdr:nvSpPr>
      <xdr:spPr>
        <a:xfrm>
          <a:off x="3237706" y="2233396"/>
          <a:ext cx="972353" cy="418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8A5D6A-CC87-4296-8521-D71EB917148D}" type="TxLink">
            <a:rPr lang="en-US" sz="2400" b="1" i="0" u="none" strike="noStrike">
              <a:solidFill>
                <a:srgbClr val="385F7C"/>
              </a:solidFill>
              <a:latin typeface="Calibri"/>
              <a:ea typeface="Calibri"/>
              <a:cs typeface="Calibri"/>
            </a:rPr>
            <a:pPr/>
            <a:t>$8.0K</a:t>
          </a:fld>
          <a:endParaRPr lang="en-US" sz="2400" b="1">
            <a:solidFill>
              <a:srgbClr val="385F7C"/>
            </a:solidFill>
          </a:endParaRPr>
        </a:p>
      </xdr:txBody>
    </xdr:sp>
    <xdr:clientData/>
  </xdr:twoCellAnchor>
  <xdr:twoCellAnchor>
    <xdr:from>
      <xdr:col>11</xdr:col>
      <xdr:colOff>402874</xdr:colOff>
      <xdr:row>12</xdr:row>
      <xdr:rowOff>122083</xdr:rowOff>
    </xdr:from>
    <xdr:to>
      <xdr:col>13</xdr:col>
      <xdr:colOff>138240</xdr:colOff>
      <xdr:row>15</xdr:row>
      <xdr:rowOff>12567</xdr:rowOff>
    </xdr:to>
    <xdr:sp macro="" textlink="Profit">
      <xdr:nvSpPr>
        <xdr:cNvPr id="30" name="TextBox 29">
          <a:extLst>
            <a:ext uri="{FF2B5EF4-FFF2-40B4-BE49-F238E27FC236}">
              <a16:creationId xmlns:a16="http://schemas.microsoft.com/office/drawing/2014/main" id="{F60A36A4-8488-4505-9D38-5E3FC097D4C2}"/>
            </a:ext>
          </a:extLst>
        </xdr:cNvPr>
        <xdr:cNvSpPr txBox="1"/>
      </xdr:nvSpPr>
      <xdr:spPr>
        <a:xfrm>
          <a:off x="7176673" y="2233396"/>
          <a:ext cx="966966" cy="418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98E7B5-BEC4-4942-A55C-A5E895070E8D}" type="TxLink">
            <a:rPr lang="en-US" sz="2000" b="1" i="0" u="none" strike="noStrike">
              <a:solidFill>
                <a:srgbClr val="385F7C"/>
              </a:solidFill>
              <a:latin typeface="Calibri"/>
              <a:ea typeface="Calibri"/>
              <a:cs typeface="Calibri"/>
            </a:rPr>
            <a:pPr/>
            <a:t>$18.5K</a:t>
          </a:fld>
          <a:endParaRPr lang="en-US" sz="2000" b="1" i="0" u="none" strike="noStrike">
            <a:solidFill>
              <a:srgbClr val="385F7C"/>
            </a:solidFill>
            <a:latin typeface="Calibri"/>
            <a:ea typeface="Calibri"/>
            <a:cs typeface="Calibri"/>
          </a:endParaRPr>
        </a:p>
      </xdr:txBody>
    </xdr:sp>
    <xdr:clientData/>
  </xdr:twoCellAnchor>
  <xdr:oneCellAnchor>
    <xdr:from>
      <xdr:col>11</xdr:col>
      <xdr:colOff>317414</xdr:colOff>
      <xdr:row>17</xdr:row>
      <xdr:rowOff>165311</xdr:rowOff>
    </xdr:from>
    <xdr:ext cx="1054297" cy="311496"/>
    <xdr:sp macro="" textlink="ProfitYOY">
      <xdr:nvSpPr>
        <xdr:cNvPr id="31" name="TextBox 30">
          <a:extLst>
            <a:ext uri="{FF2B5EF4-FFF2-40B4-BE49-F238E27FC236}">
              <a16:creationId xmlns:a16="http://schemas.microsoft.com/office/drawing/2014/main" id="{9F03709B-E511-1AEE-FAF8-D35E9DB0CE4A}"/>
            </a:ext>
          </a:extLst>
        </xdr:cNvPr>
        <xdr:cNvSpPr txBox="1"/>
      </xdr:nvSpPr>
      <xdr:spPr>
        <a:xfrm>
          <a:off x="7091213" y="3156339"/>
          <a:ext cx="10542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9C57B7D-5330-4BAC-B560-148A766777CA}" type="TxLink">
            <a:rPr lang="en-US" sz="1400" b="1" i="0" u="none" strike="noStrike">
              <a:solidFill>
                <a:schemeClr val="tx1">
                  <a:lumMod val="50000"/>
                  <a:lumOff val="50000"/>
                </a:schemeClr>
              </a:solidFill>
              <a:latin typeface="Calibri"/>
              <a:ea typeface="Calibri"/>
              <a:cs typeface="Calibri"/>
            </a:rPr>
            <a:pPr/>
            <a:t>▼57%YOY</a:t>
          </a:fld>
          <a:endParaRPr lang="en-US" sz="1400" b="1">
            <a:solidFill>
              <a:schemeClr val="tx1">
                <a:lumMod val="50000"/>
                <a:lumOff val="50000"/>
              </a:schemeClr>
            </a:solidFill>
          </a:endParaRPr>
        </a:p>
      </xdr:txBody>
    </xdr:sp>
    <xdr:clientData/>
  </xdr:oneCellAnchor>
  <xdr:twoCellAnchor>
    <xdr:from>
      <xdr:col>8</xdr:col>
      <xdr:colOff>305208</xdr:colOff>
      <xdr:row>17</xdr:row>
      <xdr:rowOff>170916</xdr:rowOff>
    </xdr:from>
    <xdr:to>
      <xdr:col>9</xdr:col>
      <xdr:colOff>598206</xdr:colOff>
      <xdr:row>20</xdr:row>
      <xdr:rowOff>2</xdr:rowOff>
    </xdr:to>
    <xdr:sp macro="" textlink="SalesYOY">
      <xdr:nvSpPr>
        <xdr:cNvPr id="33" name="TextBox 32">
          <a:extLst>
            <a:ext uri="{FF2B5EF4-FFF2-40B4-BE49-F238E27FC236}">
              <a16:creationId xmlns:a16="http://schemas.microsoft.com/office/drawing/2014/main" id="{672A3520-214D-42E1-A76B-2E5EF9E2EEF6}"/>
            </a:ext>
          </a:extLst>
        </xdr:cNvPr>
        <xdr:cNvSpPr txBox="1"/>
      </xdr:nvSpPr>
      <xdr:spPr>
        <a:xfrm>
          <a:off x="5188519" y="3284027"/>
          <a:ext cx="903411" cy="378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0884B7-48E5-48AD-9AC4-BFE8C41898FE}" type="TxLink">
            <a:rPr lang="en-US" sz="1400" b="1" i="0" u="none" strike="noStrike">
              <a:solidFill>
                <a:schemeClr val="tx1">
                  <a:lumMod val="50000"/>
                  <a:lumOff val="50000"/>
                </a:schemeClr>
              </a:solidFill>
              <a:latin typeface="Calibri"/>
              <a:ea typeface="Calibri"/>
              <a:cs typeface="Calibri"/>
            </a:rPr>
            <a:pPr/>
            <a:t>▲8%YOY</a:t>
          </a:fld>
          <a:endParaRPr lang="en-US" sz="1400" b="1">
            <a:solidFill>
              <a:schemeClr val="tx1">
                <a:lumMod val="50000"/>
                <a:lumOff val="50000"/>
              </a:schemeClr>
            </a:solidFill>
          </a:endParaRPr>
        </a:p>
      </xdr:txBody>
    </xdr:sp>
    <xdr:clientData/>
  </xdr:twoCellAnchor>
  <xdr:twoCellAnchor>
    <xdr:from>
      <xdr:col>5</xdr:col>
      <xdr:colOff>183121</xdr:colOff>
      <xdr:row>17</xdr:row>
      <xdr:rowOff>150808</xdr:rowOff>
    </xdr:from>
    <xdr:to>
      <xdr:col>6</xdr:col>
      <xdr:colOff>578096</xdr:colOff>
      <xdr:row>19</xdr:row>
      <xdr:rowOff>158708</xdr:rowOff>
    </xdr:to>
    <xdr:sp macro="" textlink="QuantityYOY">
      <xdr:nvSpPr>
        <xdr:cNvPr id="34" name="TextBox 33">
          <a:extLst>
            <a:ext uri="{FF2B5EF4-FFF2-40B4-BE49-F238E27FC236}">
              <a16:creationId xmlns:a16="http://schemas.microsoft.com/office/drawing/2014/main" id="{86586A26-A831-4C81-8392-2B76119E10D3}"/>
            </a:ext>
          </a:extLst>
        </xdr:cNvPr>
        <xdr:cNvSpPr txBox="1"/>
      </xdr:nvSpPr>
      <xdr:spPr>
        <a:xfrm>
          <a:off x="3262121" y="3141836"/>
          <a:ext cx="1010775" cy="359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10D694-384F-49C3-AEF3-65D8BC10E816}" type="TxLink">
            <a:rPr lang="en-US" sz="1400" b="1" i="0" u="none" strike="noStrike">
              <a:solidFill>
                <a:schemeClr val="tx1">
                  <a:lumMod val="50000"/>
                  <a:lumOff val="50000"/>
                </a:schemeClr>
              </a:solidFill>
              <a:latin typeface="Calibri"/>
              <a:ea typeface="Calibri"/>
              <a:cs typeface="Calibri"/>
            </a:rPr>
            <a:pPr/>
            <a:t>▲11%YOY</a:t>
          </a:fld>
          <a:endParaRPr lang="en-US" sz="1400" b="1">
            <a:solidFill>
              <a:schemeClr val="tx1">
                <a:lumMod val="50000"/>
                <a:lumOff val="50000"/>
              </a:schemeClr>
            </a:solidFill>
          </a:endParaRPr>
        </a:p>
      </xdr:txBody>
    </xdr:sp>
    <xdr:clientData/>
  </xdr:twoCellAnchor>
  <xdr:twoCellAnchor>
    <xdr:from>
      <xdr:col>14</xdr:col>
      <xdr:colOff>170916</xdr:colOff>
      <xdr:row>11</xdr:row>
      <xdr:rowOff>36625</xdr:rowOff>
    </xdr:from>
    <xdr:to>
      <xdr:col>23</xdr:col>
      <xdr:colOff>341831</xdr:colOff>
      <xdr:row>23</xdr:row>
      <xdr:rowOff>158707</xdr:rowOff>
    </xdr:to>
    <xdr:graphicFrame macro="">
      <xdr:nvGraphicFramePr>
        <xdr:cNvPr id="2" name="Chart 1">
          <a:extLst>
            <a:ext uri="{FF2B5EF4-FFF2-40B4-BE49-F238E27FC236}">
              <a16:creationId xmlns:a16="http://schemas.microsoft.com/office/drawing/2014/main" id="{97EE2237-3AB0-4477-BF86-5B1059FA5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146499</xdr:colOff>
      <xdr:row>10</xdr:row>
      <xdr:rowOff>97666</xdr:rowOff>
    </xdr:from>
    <xdr:to>
      <xdr:col>19</xdr:col>
      <xdr:colOff>341831</xdr:colOff>
      <xdr:row>11</xdr:row>
      <xdr:rowOff>170916</xdr:rowOff>
    </xdr:to>
    <xdr:sp macro="" textlink="SalesT">
      <xdr:nvSpPr>
        <xdr:cNvPr id="3" name="TextBox 2">
          <a:extLst>
            <a:ext uri="{FF2B5EF4-FFF2-40B4-BE49-F238E27FC236}">
              <a16:creationId xmlns:a16="http://schemas.microsoft.com/office/drawing/2014/main" id="{3C551BB4-C4AC-69EE-59A2-24A16040808A}"/>
            </a:ext>
          </a:extLst>
        </xdr:cNvPr>
        <xdr:cNvSpPr txBox="1"/>
      </xdr:nvSpPr>
      <xdr:spPr>
        <a:xfrm>
          <a:off x="8692293" y="1928907"/>
          <a:ext cx="3247402" cy="25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38745F-D5C3-40BF-81B0-3A0B85A0F6D9}" type="TxLink">
            <a:rPr lang="en-US" sz="1100" b="1" i="0" u="none" strike="noStrike">
              <a:solidFill>
                <a:schemeClr val="tx1">
                  <a:lumMod val="50000"/>
                  <a:lumOff val="50000"/>
                </a:schemeClr>
              </a:solidFill>
              <a:latin typeface="Calibri"/>
              <a:ea typeface="Calibri"/>
              <a:cs typeface="Calibri"/>
            </a:rPr>
            <a:pPr/>
            <a:t>Peak Sales Per Month:  Dec with  $121,818  in Sales</a:t>
          </a:fld>
          <a:endParaRPr lang="en-US" sz="1100" b="1">
            <a:solidFill>
              <a:schemeClr val="tx1">
                <a:lumMod val="50000"/>
                <a:lumOff val="50000"/>
              </a:schemeClr>
            </a:solidFill>
          </a:endParaRPr>
        </a:p>
      </xdr:txBody>
    </xdr:sp>
    <xdr:clientData/>
  </xdr:twoCellAnchor>
  <xdr:twoCellAnchor>
    <xdr:from>
      <xdr:col>14</xdr:col>
      <xdr:colOff>158708</xdr:colOff>
      <xdr:row>27</xdr:row>
      <xdr:rowOff>170914</xdr:rowOff>
    </xdr:from>
    <xdr:to>
      <xdr:col>23</xdr:col>
      <xdr:colOff>329623</xdr:colOff>
      <xdr:row>42</xdr:row>
      <xdr:rowOff>170916</xdr:rowOff>
    </xdr:to>
    <xdr:graphicFrame macro="">
      <xdr:nvGraphicFramePr>
        <xdr:cNvPr id="4" name="Chart 3">
          <a:extLst>
            <a:ext uri="{FF2B5EF4-FFF2-40B4-BE49-F238E27FC236}">
              <a16:creationId xmlns:a16="http://schemas.microsoft.com/office/drawing/2014/main" id="{4499828E-774E-4E3C-966C-FCD7696BD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146500</xdr:colOff>
      <xdr:row>26</xdr:row>
      <xdr:rowOff>146499</xdr:rowOff>
    </xdr:from>
    <xdr:to>
      <xdr:col>19</xdr:col>
      <xdr:colOff>341832</xdr:colOff>
      <xdr:row>28</xdr:row>
      <xdr:rowOff>12208</xdr:rowOff>
    </xdr:to>
    <xdr:sp macro="" textlink="Ship.D">
      <xdr:nvSpPr>
        <xdr:cNvPr id="6" name="TextBox 5">
          <a:extLst>
            <a:ext uri="{FF2B5EF4-FFF2-40B4-BE49-F238E27FC236}">
              <a16:creationId xmlns:a16="http://schemas.microsoft.com/office/drawing/2014/main" id="{674C10CF-E221-4044-94EA-7FA975434A0A}"/>
            </a:ext>
          </a:extLst>
        </xdr:cNvPr>
        <xdr:cNvSpPr txBox="1"/>
      </xdr:nvSpPr>
      <xdr:spPr>
        <a:xfrm>
          <a:off x="8692294" y="4907728"/>
          <a:ext cx="3247402" cy="231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22424A-180C-4F8C-B9F4-4AF5FA199E37}" type="TxLink">
            <a:rPr lang="en-US" sz="1100" b="1" i="0" u="none" strike="noStrike">
              <a:solidFill>
                <a:schemeClr val="tx1">
                  <a:lumMod val="50000"/>
                  <a:lumOff val="50000"/>
                </a:schemeClr>
              </a:solidFill>
              <a:latin typeface="Calibri"/>
              <a:ea typeface="Calibri"/>
              <a:cs typeface="Calibri"/>
            </a:rPr>
            <a:pPr/>
            <a:t>Most Orders (28% ) were delivered in 4-days.</a:t>
          </a:fld>
          <a:endParaRPr lang="en-US" sz="1100" b="1">
            <a:solidFill>
              <a:schemeClr val="tx1">
                <a:lumMod val="50000"/>
                <a:lumOff val="50000"/>
              </a:schemeClr>
            </a:solidFill>
          </a:endParaRPr>
        </a:p>
      </xdr:txBody>
    </xdr:sp>
    <xdr:clientData/>
  </xdr:twoCellAnchor>
  <xdr:twoCellAnchor>
    <xdr:from>
      <xdr:col>23</xdr:col>
      <xdr:colOff>427969</xdr:colOff>
      <xdr:row>12</xdr:row>
      <xdr:rowOff>77545</xdr:rowOff>
    </xdr:from>
    <xdr:to>
      <xdr:col>31</xdr:col>
      <xdr:colOff>238063</xdr:colOff>
      <xdr:row>28</xdr:row>
      <xdr:rowOff>77543</xdr:rowOff>
    </xdr:to>
    <mc:AlternateContent xmlns:mc="http://schemas.openxmlformats.org/markup-compatibility/2006">
      <mc:Choice xmlns:cx4="http://schemas.microsoft.com/office/drawing/2016/5/10/chartex" Requires="cx4">
        <xdr:graphicFrame macro="">
          <xdr:nvGraphicFramePr>
            <xdr:cNvPr id="20" name="Chart 18">
              <a:extLst>
                <a:ext uri="{FF2B5EF4-FFF2-40B4-BE49-F238E27FC236}">
                  <a16:creationId xmlns:a16="http://schemas.microsoft.com/office/drawing/2014/main" id="{5A62085C-8C76-460E-AB13-5968DAC22D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579805" y="2231085"/>
              <a:ext cx="4732471" cy="28713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578310</xdr:colOff>
      <xdr:row>29</xdr:row>
      <xdr:rowOff>47477</xdr:rowOff>
    </xdr:from>
    <xdr:to>
      <xdr:col>31</xdr:col>
      <xdr:colOff>181993</xdr:colOff>
      <xdr:row>43</xdr:row>
      <xdr:rowOff>25727</xdr:rowOff>
    </xdr:to>
    <xdr:graphicFrame macro="">
      <xdr:nvGraphicFramePr>
        <xdr:cNvPr id="27" name="Chart 26">
          <a:extLst>
            <a:ext uri="{FF2B5EF4-FFF2-40B4-BE49-F238E27FC236}">
              <a16:creationId xmlns:a16="http://schemas.microsoft.com/office/drawing/2014/main" id="{B1DF4688-72DC-476E-BBA2-D544108FC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11097</xdr:colOff>
      <xdr:row>28</xdr:row>
      <xdr:rowOff>0</xdr:rowOff>
    </xdr:from>
    <xdr:to>
      <xdr:col>29</xdr:col>
      <xdr:colOff>213643</xdr:colOff>
      <xdr:row>29</xdr:row>
      <xdr:rowOff>71215</xdr:rowOff>
    </xdr:to>
    <xdr:sp macro="" textlink="Cities">
      <xdr:nvSpPr>
        <xdr:cNvPr id="35" name="TextBox 5">
          <a:extLst>
            <a:ext uri="{FF2B5EF4-FFF2-40B4-BE49-F238E27FC236}">
              <a16:creationId xmlns:a16="http://schemas.microsoft.com/office/drawing/2014/main" id="{43C78D05-BD96-9422-183B-EA8BE82E3288}"/>
            </a:ext>
          </a:extLst>
        </xdr:cNvPr>
        <xdr:cNvSpPr txBox="1"/>
      </xdr:nvSpPr>
      <xdr:spPr>
        <a:xfrm>
          <a:off x="14661031" y="4972099"/>
          <a:ext cx="3254615" cy="24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fld id="{928330AA-D853-4F10-B4B6-7BECD07D9E44}" type="TxLink">
            <a:rPr lang="en-US" sz="1100" b="0" i="0" u="none" strike="noStrike">
              <a:solidFill>
                <a:srgbClr val="000000"/>
              </a:solidFill>
              <a:latin typeface="Calibri"/>
              <a:ea typeface="Calibri"/>
              <a:cs typeface="Calibri"/>
            </a:rPr>
            <a:pPr/>
            <a:t>Top Selling Cities: New York City with  $75,691  in Sales</a:t>
          </a:fld>
          <a:endParaRPr lang="en-US" sz="1100" b="1">
            <a:solidFill>
              <a:schemeClr val="tx1">
                <a:lumMod val="50000"/>
                <a:lumOff val="50000"/>
              </a:schemeClr>
            </a:solidFill>
          </a:endParaRPr>
        </a:p>
      </xdr:txBody>
    </xdr:sp>
    <xdr:clientData/>
  </xdr:twoCellAnchor>
  <xdr:twoCellAnchor>
    <xdr:from>
      <xdr:col>4</xdr:col>
      <xdr:colOff>297224</xdr:colOff>
      <xdr:row>20</xdr:row>
      <xdr:rowOff>138516</xdr:rowOff>
    </xdr:from>
    <xdr:to>
      <xdr:col>13</xdr:col>
      <xdr:colOff>262947</xdr:colOff>
      <xdr:row>32</xdr:row>
      <xdr:rowOff>49302</xdr:rowOff>
    </xdr:to>
    <xdr:graphicFrame macro="">
      <xdr:nvGraphicFramePr>
        <xdr:cNvPr id="37" name="Chart 36">
          <a:extLst>
            <a:ext uri="{FF2B5EF4-FFF2-40B4-BE49-F238E27FC236}">
              <a16:creationId xmlns:a16="http://schemas.microsoft.com/office/drawing/2014/main" id="{49A4AA4D-FFFF-4D32-8911-6750E7887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573790</xdr:colOff>
      <xdr:row>22</xdr:row>
      <xdr:rowOff>123554</xdr:rowOff>
    </xdr:from>
    <xdr:to>
      <xdr:col>9</xdr:col>
      <xdr:colOff>146501</xdr:colOff>
      <xdr:row>30</xdr:row>
      <xdr:rowOff>51481</xdr:rowOff>
    </xdr:to>
    <xdr:sp macro="" textlink="">
      <xdr:nvSpPr>
        <xdr:cNvPr id="40" name="Oval 39">
          <a:extLst>
            <a:ext uri="{FF2B5EF4-FFF2-40B4-BE49-F238E27FC236}">
              <a16:creationId xmlns:a16="http://schemas.microsoft.com/office/drawing/2014/main" id="{A696C12C-EC77-0A32-4531-0EA9FEF9657E}"/>
            </a:ext>
          </a:extLst>
        </xdr:cNvPr>
        <xdr:cNvSpPr/>
      </xdr:nvSpPr>
      <xdr:spPr>
        <a:xfrm>
          <a:off x="4236273" y="4152285"/>
          <a:ext cx="1403952" cy="1392920"/>
        </a:xfrm>
        <a:prstGeom prst="ellipse">
          <a:avLst/>
        </a:prstGeom>
        <a:solidFill>
          <a:srgbClr val="CCDC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900" b="1">
            <a:solidFill>
              <a:schemeClr val="tx1"/>
            </a:solidFill>
          </a:endParaRPr>
        </a:p>
        <a:p>
          <a:pPr algn="l"/>
          <a:r>
            <a:rPr lang="en-US" sz="900" b="1" baseline="0">
              <a:solidFill>
                <a:schemeClr val="tx1"/>
              </a:solidFill>
            </a:rPr>
            <a:t> </a:t>
          </a:r>
          <a:r>
            <a:rPr lang="en-US" sz="900" b="1">
              <a:solidFill>
                <a:schemeClr val="tx1"/>
              </a:solidFill>
            </a:rPr>
            <a:t>Shipping Mode</a:t>
          </a:r>
        </a:p>
      </xdr:txBody>
    </xdr:sp>
    <xdr:clientData/>
  </xdr:twoCellAnchor>
  <xdr:twoCellAnchor>
    <xdr:from>
      <xdr:col>4</xdr:col>
      <xdr:colOff>351326</xdr:colOff>
      <xdr:row>31</xdr:row>
      <xdr:rowOff>142428</xdr:rowOff>
    </xdr:from>
    <xdr:to>
      <xdr:col>13</xdr:col>
      <xdr:colOff>441532</xdr:colOff>
      <xdr:row>43</xdr:row>
      <xdr:rowOff>122489</xdr:rowOff>
    </xdr:to>
    <xdr:graphicFrame macro="">
      <xdr:nvGraphicFramePr>
        <xdr:cNvPr id="42" name="Chart 41">
          <a:extLst>
            <a:ext uri="{FF2B5EF4-FFF2-40B4-BE49-F238E27FC236}">
              <a16:creationId xmlns:a16="http://schemas.microsoft.com/office/drawing/2014/main" id="{C1968553-CF76-40A1-8786-C00427CFE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341831</xdr:colOff>
      <xdr:row>31</xdr:row>
      <xdr:rowOff>66467</xdr:rowOff>
    </xdr:from>
    <xdr:to>
      <xdr:col>10</xdr:col>
      <xdr:colOff>294356</xdr:colOff>
      <xdr:row>32</xdr:row>
      <xdr:rowOff>123439</xdr:rowOff>
    </xdr:to>
    <xdr:sp macro="" textlink="CatSales">
      <xdr:nvSpPr>
        <xdr:cNvPr id="43" name="TextBox 42">
          <a:extLst>
            <a:ext uri="{FF2B5EF4-FFF2-40B4-BE49-F238E27FC236}">
              <a16:creationId xmlns:a16="http://schemas.microsoft.com/office/drawing/2014/main" id="{3202318D-1391-4E47-B16F-9671C7F0739D}"/>
            </a:ext>
          </a:extLst>
        </xdr:cNvPr>
        <xdr:cNvSpPr txBox="1"/>
      </xdr:nvSpPr>
      <xdr:spPr>
        <a:xfrm>
          <a:off x="2810617" y="5659215"/>
          <a:ext cx="3655701" cy="23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B494AD-9A51-4407-AE5C-1275ED62AE9D}" type="TxLink">
            <a:rPr lang="en-US" sz="1100" b="0" i="0" u="none" strike="noStrike">
              <a:solidFill>
                <a:schemeClr val="tx1">
                  <a:lumMod val="50000"/>
                  <a:lumOff val="50000"/>
                </a:schemeClr>
              </a:solidFill>
              <a:latin typeface="Calibri"/>
              <a:ea typeface="Calibri"/>
              <a:cs typeface="Calibri"/>
            </a:rPr>
            <a:pPr/>
            <a:t>Highest Sales By Category:  Chairs with  $328,449  in Sales</a:t>
          </a:fld>
          <a:endParaRPr lang="en-US" sz="1100" b="1">
            <a:solidFill>
              <a:schemeClr val="tx1">
                <a:lumMod val="50000"/>
                <a:lumOff val="50000"/>
              </a:schemeClr>
            </a:solidFill>
          </a:endParaRPr>
        </a:p>
      </xdr:txBody>
    </xdr:sp>
    <xdr:clientData/>
  </xdr:twoCellAnchor>
  <xdr:twoCellAnchor editAs="oneCell">
    <xdr:from>
      <xdr:col>24</xdr:col>
      <xdr:colOff>569721</xdr:colOff>
      <xdr:row>7</xdr:row>
      <xdr:rowOff>18990</xdr:rowOff>
    </xdr:from>
    <xdr:to>
      <xdr:col>31</xdr:col>
      <xdr:colOff>265869</xdr:colOff>
      <xdr:row>9</xdr:row>
      <xdr:rowOff>56972</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C8E81F50-BA4F-4099-9454-8C53375E83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96160" y="1244231"/>
              <a:ext cx="4020526" cy="388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94953</xdr:colOff>
      <xdr:row>7</xdr:row>
      <xdr:rowOff>28485</xdr:rowOff>
    </xdr:from>
    <xdr:to>
      <xdr:col>24</xdr:col>
      <xdr:colOff>218393</xdr:colOff>
      <xdr:row>9</xdr:row>
      <xdr:rowOff>66467</xdr:rowOff>
    </xdr:to>
    <mc:AlternateContent xmlns:mc="http://schemas.openxmlformats.org/markup-compatibility/2006" xmlns:a14="http://schemas.microsoft.com/office/drawing/2010/main">
      <mc:Choice Requires="a14">
        <xdr:graphicFrame macro="">
          <xdr:nvGraphicFramePr>
            <xdr:cNvPr id="45" name="Segment">
              <a:extLst>
                <a:ext uri="{FF2B5EF4-FFF2-40B4-BE49-F238E27FC236}">
                  <a16:creationId xmlns:a16="http://schemas.microsoft.com/office/drawing/2014/main" id="{A1C27519-3098-4AE4-8A68-0545C557582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97013" y="1253726"/>
              <a:ext cx="4447819" cy="388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43.660098726854" createdVersion="8" refreshedVersion="8" minRefreshableVersion="3" recordCount="2121" xr:uid="{66DCE4A1-337A-49A5-9725-2127FE14D2F3}">
  <cacheSource type="worksheet">
    <worksheetSource name="Furniture_Sales"/>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days"/>
        <s v="7-days"/>
        <s v="5-days"/>
        <s v="2-days"/>
        <s v="4-days"/>
        <s v="1-days"/>
        <s v="6-days"/>
        <s v="0-days"/>
      </sharedItems>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1">
        <rangePr groupBy="quarters" startDate="2014-01-06T00:00:00" endDate="2017-12-31T00:00:00"/>
        <groupItems count="6">
          <s v="&lt;1/6/2014"/>
          <s v="Qtr1"/>
          <s v="Qtr2"/>
          <s v="Qtr3"/>
          <s v="Qtr4"/>
          <s v="&gt;12/31/2017"/>
        </groupItems>
      </fieldGroup>
    </cacheField>
    <cacheField name="Years (Order Date)"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963172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x v="0"/>
    <x v="0"/>
    <s v="Bush Somerset Collection Bookcase"/>
    <n v="261.95999999999998"/>
    <n v="2"/>
    <n v="41.913600000000002"/>
    <x v="0"/>
    <x v="0"/>
  </r>
  <r>
    <s v="CA-2016-152156"/>
    <x v="0"/>
    <d v="2016-11-11T00:00:00"/>
    <x v="0"/>
    <s v="CG-12520"/>
    <s v="Claire Gute"/>
    <x v="0"/>
    <s v="United States"/>
    <x v="0"/>
    <x v="0"/>
    <x v="0"/>
    <s v="FUR-CH-10000454"/>
    <x v="0"/>
    <x v="1"/>
    <s v="Hon Deluxe Fabric Upholstered Stacking Chairs, Rounded Back"/>
    <n v="731.94"/>
    <n v="3"/>
    <n v="219.58199999999999"/>
    <x v="0"/>
    <x v="0"/>
  </r>
  <r>
    <s v="US-2015-108966"/>
    <x v="1"/>
    <d v="2015-10-18T00:00:00"/>
    <x v="1"/>
    <s v="SO-20335"/>
    <s v="Sean O'Donnell"/>
    <x v="0"/>
    <s v="United States"/>
    <x v="1"/>
    <x v="1"/>
    <x v="0"/>
    <s v="FUR-TA-10000577"/>
    <x v="0"/>
    <x v="2"/>
    <s v="Bretford CR4500 Series Slim Rectangular Table"/>
    <n v="957.57749999999999"/>
    <n v="5"/>
    <n v="-383.03100000000001"/>
    <x v="1"/>
    <x v="1"/>
  </r>
  <r>
    <s v="CA-2014-115812"/>
    <x v="2"/>
    <d v="2014-06-14T00:00:00"/>
    <x v="1"/>
    <s v="BH-11710"/>
    <s v="Brosina Hoffman"/>
    <x v="0"/>
    <s v="United States"/>
    <x v="2"/>
    <x v="2"/>
    <x v="1"/>
    <s v="FUR-FU-10001487"/>
    <x v="0"/>
    <x v="3"/>
    <s v="Eldon Expressions Wood and Plastic Desk Accessories, Cherry Wood"/>
    <n v="48.86"/>
    <n v="7"/>
    <n v="14.1694"/>
    <x v="2"/>
    <x v="2"/>
  </r>
  <r>
    <s v="CA-2014-115812"/>
    <x v="2"/>
    <d v="2014-06-14T00:00:00"/>
    <x v="1"/>
    <s v="BH-11710"/>
    <s v="Brosina Hoffman"/>
    <x v="0"/>
    <s v="United States"/>
    <x v="2"/>
    <x v="2"/>
    <x v="1"/>
    <s v="FUR-TA-10001539"/>
    <x v="0"/>
    <x v="2"/>
    <s v="Chromcraft Rectangular Conference Tables"/>
    <n v="1706.184"/>
    <n v="9"/>
    <n v="85.309200000000004"/>
    <x v="2"/>
    <x v="2"/>
  </r>
  <r>
    <s v="US-2017-156909"/>
    <x v="3"/>
    <d v="2017-07-18T00:00:00"/>
    <x v="0"/>
    <s v="SF-20065"/>
    <s v="Sandra Flanagan"/>
    <x v="0"/>
    <s v="United States"/>
    <x v="3"/>
    <x v="3"/>
    <x v="2"/>
    <s v="FUR-CH-10002774"/>
    <x v="0"/>
    <x v="1"/>
    <s v="Global Deluxe Stacking Chair, Gray"/>
    <n v="71.372"/>
    <n v="2"/>
    <n v="-1.0196000000000001"/>
    <x v="3"/>
    <x v="3"/>
  </r>
  <r>
    <s v="CA-2015-106320"/>
    <x v="4"/>
    <d v="2015-09-30T00:00:00"/>
    <x v="1"/>
    <s v="EB-13870"/>
    <s v="Emily Burns"/>
    <x v="0"/>
    <s v="United States"/>
    <x v="4"/>
    <x v="4"/>
    <x v="1"/>
    <s v="FUR-TA-10000577"/>
    <x v="0"/>
    <x v="2"/>
    <s v="Bretford CR4500 Series Slim Rectangular Table"/>
    <n v="1044.6300000000001"/>
    <n v="3"/>
    <n v="240.26490000000001"/>
    <x v="2"/>
    <x v="4"/>
  </r>
  <r>
    <s v="US-2015-150630"/>
    <x v="5"/>
    <d v="2015-09-21T00:00:00"/>
    <x v="1"/>
    <s v="TB-21520"/>
    <s v="Tracy Blumstein"/>
    <x v="0"/>
    <s v="United States"/>
    <x v="3"/>
    <x v="3"/>
    <x v="2"/>
    <s v="FUR-BO-10004834"/>
    <x v="0"/>
    <x v="0"/>
    <s v="Riverside Palais Royal Lawyers Bookcase, Royale Cherry Finish"/>
    <n v="3083.43"/>
    <n v="7"/>
    <n v="-1665.0522000000001"/>
    <x v="4"/>
    <x v="4"/>
  </r>
  <r>
    <s v="US-2015-150630"/>
    <x v="5"/>
    <d v="2015-09-21T00:00:00"/>
    <x v="1"/>
    <s v="TB-21520"/>
    <s v="Tracy Blumstein"/>
    <x v="0"/>
    <s v="United States"/>
    <x v="3"/>
    <x v="3"/>
    <x v="2"/>
    <s v="FUR-FU-10004848"/>
    <x v="0"/>
    <x v="3"/>
    <s v="Howard Miller 13-3/4&quot; Diameter Brushed Chrome Round Wall Clock"/>
    <n v="124.2"/>
    <n v="3"/>
    <n v="15.525"/>
    <x v="4"/>
    <x v="4"/>
  </r>
  <r>
    <s v="CA-2016-117590"/>
    <x v="6"/>
    <d v="2016-12-10T00:00:00"/>
    <x v="2"/>
    <s v="GH-14485"/>
    <s v="Gene Hale"/>
    <x v="1"/>
    <s v="United States"/>
    <x v="5"/>
    <x v="5"/>
    <x v="3"/>
    <s v="FUR-FU-10003664"/>
    <x v="0"/>
    <x v="3"/>
    <s v="Electrix Architect's Clamp-On Swing Arm Lamp, Black"/>
    <n v="190.92"/>
    <n v="5"/>
    <n v="-147.96299999999999"/>
    <x v="3"/>
    <x v="5"/>
  </r>
  <r>
    <s v="CA-2015-117415"/>
    <x v="7"/>
    <d v="2015-12-31T00:00:00"/>
    <x v="1"/>
    <s v="SN-20710"/>
    <s v="Steve Nguyen"/>
    <x v="2"/>
    <s v="United States"/>
    <x v="6"/>
    <x v="5"/>
    <x v="3"/>
    <s v="FUR-BO-10002545"/>
    <x v="0"/>
    <x v="0"/>
    <s v="Atlantic Metals Mobile 3-Shelf Bookcases, Custom Colors"/>
    <n v="532.39919999999995"/>
    <n v="3"/>
    <n v="-46.976399999999998"/>
    <x v="4"/>
    <x v="5"/>
  </r>
  <r>
    <s v="CA-2015-117415"/>
    <x v="7"/>
    <d v="2015-12-31T00:00:00"/>
    <x v="1"/>
    <s v="SN-20710"/>
    <s v="Steve Nguyen"/>
    <x v="2"/>
    <s v="United States"/>
    <x v="6"/>
    <x v="5"/>
    <x v="3"/>
    <s v="FUR-CH-10004218"/>
    <x v="0"/>
    <x v="1"/>
    <s v="Global Fabric Manager's Chair, Dark Gray"/>
    <n v="212.05799999999999"/>
    <n v="3"/>
    <n v="-15.147"/>
    <x v="4"/>
    <x v="5"/>
  </r>
  <r>
    <s v="CA-2015-115742"/>
    <x v="8"/>
    <d v="2015-04-22T00:00:00"/>
    <x v="1"/>
    <s v="DP-13000"/>
    <s v="Darren Powers"/>
    <x v="0"/>
    <s v="United States"/>
    <x v="7"/>
    <x v="6"/>
    <x v="3"/>
    <s v="FUR-FU-10001706"/>
    <x v="0"/>
    <x v="3"/>
    <s v="Longer-Life Soft White Bulbs"/>
    <n v="6.16"/>
    <n v="2"/>
    <n v="2.9567999999999999"/>
    <x v="4"/>
    <x v="6"/>
  </r>
  <r>
    <s v="CA-2015-115742"/>
    <x v="8"/>
    <d v="2015-04-22T00:00:00"/>
    <x v="1"/>
    <s v="DP-13000"/>
    <s v="Darren Powers"/>
    <x v="0"/>
    <s v="United States"/>
    <x v="7"/>
    <x v="6"/>
    <x v="3"/>
    <s v="FUR-CH-10003061"/>
    <x v="0"/>
    <x v="1"/>
    <s v="Global Leather Task Chair, Black"/>
    <n v="89.99"/>
    <n v="1"/>
    <n v="17.098099999999999"/>
    <x v="4"/>
    <x v="6"/>
  </r>
  <r>
    <s v="CA-2016-111682"/>
    <x v="9"/>
    <d v="2016-06-18T00:00:00"/>
    <x v="2"/>
    <s v="TB-21055"/>
    <s v="Ted Butterfield"/>
    <x v="0"/>
    <s v="United States"/>
    <x v="8"/>
    <x v="7"/>
    <x v="2"/>
    <s v="FUR-CH-10003968"/>
    <x v="0"/>
    <x v="1"/>
    <s v="Novimex Turbo Task Chair"/>
    <n v="319.41000000000003"/>
    <n v="5"/>
    <n v="7.0979999999999999"/>
    <x v="5"/>
    <x v="2"/>
  </r>
  <r>
    <s v="CA-2015-135545"/>
    <x v="10"/>
    <d v="2015-11-30T00:00:00"/>
    <x v="1"/>
    <s v="KM-16720"/>
    <s v="Kunst Miller"/>
    <x v="0"/>
    <s v="United States"/>
    <x v="2"/>
    <x v="2"/>
    <x v="1"/>
    <s v="FUR-FU-10000397"/>
    <x v="0"/>
    <x v="3"/>
    <s v="Luxo Economy Swing Arm Lamp"/>
    <n v="79.760000000000005"/>
    <n v="4"/>
    <n v="22.332799999999999"/>
    <x v="6"/>
    <x v="0"/>
  </r>
  <r>
    <s v="US-2015-164175"/>
    <x v="11"/>
    <d v="2015-05-05T00:00:00"/>
    <x v="1"/>
    <s v="PS-18970"/>
    <s v="Paul Stevenson"/>
    <x v="2"/>
    <s v="United States"/>
    <x v="9"/>
    <x v="8"/>
    <x v="3"/>
    <s v="FUR-CH-10001146"/>
    <x v="0"/>
    <x v="1"/>
    <s v="Global Value Mid-Back Manager's Chair, Gray"/>
    <n v="213.11500000000001"/>
    <n v="5"/>
    <n v="-15.2225"/>
    <x v="2"/>
    <x v="6"/>
  </r>
  <r>
    <s v="US-2015-134026"/>
    <x v="12"/>
    <d v="2015-05-02T00:00:00"/>
    <x v="1"/>
    <s v="JE-15745"/>
    <s v="Joel Eaton"/>
    <x v="0"/>
    <s v="United States"/>
    <x v="10"/>
    <x v="9"/>
    <x v="0"/>
    <s v="FUR-CH-10000513"/>
    <x v="0"/>
    <x v="1"/>
    <s v="High-Back Leather Manager's Chair"/>
    <n v="831.93600000000004"/>
    <n v="8"/>
    <n v="-114.3912"/>
    <x v="6"/>
    <x v="6"/>
  </r>
  <r>
    <s v="US-2015-134026"/>
    <x v="12"/>
    <d v="2015-05-02T00:00:00"/>
    <x v="1"/>
    <s v="JE-15745"/>
    <s v="Joel Eaton"/>
    <x v="0"/>
    <s v="United States"/>
    <x v="10"/>
    <x v="9"/>
    <x v="0"/>
    <s v="FUR-FU-10003708"/>
    <x v="0"/>
    <x v="3"/>
    <s v="Tenex Traditional Chairmats for Medium Pile Carpet, Standard Lip, 36&quot; x 48&quot;"/>
    <n v="97.04"/>
    <n v="2"/>
    <n v="1.2130000000000001"/>
    <x v="6"/>
    <x v="6"/>
  </r>
  <r>
    <s v="US-2017-118038"/>
    <x v="13"/>
    <d v="2017-12-11T00:00:00"/>
    <x v="2"/>
    <s v="KB-16600"/>
    <s v="Ken Brennan"/>
    <x v="1"/>
    <s v="United States"/>
    <x v="6"/>
    <x v="5"/>
    <x v="3"/>
    <s v="FUR-FU-10000260"/>
    <x v="0"/>
    <x v="3"/>
    <s v="6&quot; Cubicle Wall Clock, Black"/>
    <n v="9.7080000000000002"/>
    <n v="3"/>
    <n v="-5.8247999999999998"/>
    <x v="3"/>
    <x v="5"/>
  </r>
  <r>
    <s v="US-2014-147606"/>
    <x v="14"/>
    <d v="2014-12-01T00:00:00"/>
    <x v="0"/>
    <s v="JE-15745"/>
    <s v="Joel Eaton"/>
    <x v="0"/>
    <s v="United States"/>
    <x v="6"/>
    <x v="5"/>
    <x v="3"/>
    <s v="FUR-FU-10003194"/>
    <x v="0"/>
    <x v="3"/>
    <s v="Eldon Expressions Desk Accessory, Wood Pencil Holder, Oak"/>
    <n v="19.3"/>
    <n v="5"/>
    <n v="-14.475"/>
    <x v="2"/>
    <x v="0"/>
  </r>
  <r>
    <s v="CA-2017-140088"/>
    <x v="15"/>
    <d v="2017-05-30T00:00:00"/>
    <x v="0"/>
    <s v="PO-18865"/>
    <s v="Patrick O'Donnell"/>
    <x v="0"/>
    <s v="United States"/>
    <x v="11"/>
    <x v="10"/>
    <x v="0"/>
    <s v="FUR-CH-10000863"/>
    <x v="0"/>
    <x v="1"/>
    <s v="Novimex Swivel Fabric Task Chair"/>
    <n v="301.95999999999998"/>
    <n v="2"/>
    <n v="33.215600000000002"/>
    <x v="3"/>
    <x v="7"/>
  </r>
  <r>
    <s v="CA-2015-149587"/>
    <x v="16"/>
    <d v="2015-02-05T00:00:00"/>
    <x v="0"/>
    <s v="KB-16315"/>
    <s v="Karl Braun"/>
    <x v="0"/>
    <s v="United States"/>
    <x v="12"/>
    <x v="11"/>
    <x v="3"/>
    <s v="FUR-FU-10003799"/>
    <x v="0"/>
    <x v="3"/>
    <s v="Seth Thomas 13 1/2&quot; Wall Clock"/>
    <n v="53.34"/>
    <n v="3"/>
    <n v="16.535399999999999"/>
    <x v="2"/>
    <x v="8"/>
  </r>
  <r>
    <s v="CA-2017-161018"/>
    <x v="17"/>
    <d v="2017-11-11T00:00:00"/>
    <x v="0"/>
    <s v="PN-18775"/>
    <s v="Parhena Norris"/>
    <x v="2"/>
    <s v="United States"/>
    <x v="13"/>
    <x v="7"/>
    <x v="2"/>
    <s v="FUR-FU-10000629"/>
    <x v="0"/>
    <x v="3"/>
    <s v="9-3/4 Diameter Round Wall Clock"/>
    <n v="96.53"/>
    <n v="7"/>
    <n v="40.5426"/>
    <x v="3"/>
    <x v="0"/>
  </r>
  <r>
    <s v="US-2015-156867"/>
    <x v="18"/>
    <d v="2015-11-17T00:00:00"/>
    <x v="1"/>
    <s v="LC-16870"/>
    <s v="Lena Cacioppo"/>
    <x v="0"/>
    <s v="United States"/>
    <x v="14"/>
    <x v="12"/>
    <x v="1"/>
    <s v="FUR-FU-10004006"/>
    <x v="0"/>
    <x v="3"/>
    <s v="Deflect-o DuraMat Lighweight, Studded, Beveled Mat for Low Pile Carpeting"/>
    <n v="102.36"/>
    <n v="3"/>
    <n v="-3.8384999999999998"/>
    <x v="4"/>
    <x v="0"/>
  </r>
  <r>
    <s v="CA-2017-146780"/>
    <x v="19"/>
    <d v="2017-12-30T00:00:00"/>
    <x v="1"/>
    <s v="CV-12805"/>
    <s v="Cynthia Voltz"/>
    <x v="1"/>
    <s v="United States"/>
    <x v="13"/>
    <x v="7"/>
    <x v="2"/>
    <s v="FUR-FU-10001934"/>
    <x v="0"/>
    <x v="3"/>
    <s v="Magnifier Swing Arm Lamp"/>
    <n v="41.96"/>
    <n v="2"/>
    <n v="10.909599999999999"/>
    <x v="2"/>
    <x v="5"/>
  </r>
  <r>
    <s v="CA-2015-110457"/>
    <x v="20"/>
    <d v="2015-03-06T00:00:00"/>
    <x v="1"/>
    <s v="DK-13090"/>
    <s v="Dave Kipp"/>
    <x v="0"/>
    <s v="United States"/>
    <x v="15"/>
    <x v="13"/>
    <x v="1"/>
    <s v="FUR-TA-10001768"/>
    <x v="0"/>
    <x v="2"/>
    <s v="Hon Racetrack Conference Tables"/>
    <n v="787.53"/>
    <n v="3"/>
    <n v="165.38130000000001"/>
    <x v="4"/>
    <x v="9"/>
  </r>
  <r>
    <s v="CA-2016-103730"/>
    <x v="21"/>
    <d v="2016-06-15T00:00:00"/>
    <x v="2"/>
    <s v="SC-20725"/>
    <s v="Steven Cartwright"/>
    <x v="0"/>
    <s v="United States"/>
    <x v="16"/>
    <x v="14"/>
    <x v="2"/>
    <s v="FUR-FU-10002157"/>
    <x v="0"/>
    <x v="3"/>
    <s v="Artistic Insta-Plaque"/>
    <n v="47.04"/>
    <n v="3"/>
    <n v="18.345600000000001"/>
    <x v="0"/>
    <x v="2"/>
  </r>
  <r>
    <s v="US-2014-152030"/>
    <x v="22"/>
    <d v="2014-12-28T00:00:00"/>
    <x v="0"/>
    <s v="AD-10180"/>
    <s v="Alan Dominguez"/>
    <x v="2"/>
    <s v="United States"/>
    <x v="6"/>
    <x v="5"/>
    <x v="3"/>
    <s v="FUR-CH-10004063"/>
    <x v="0"/>
    <x v="1"/>
    <s v="Global Deluxe High-Back Manager's Chair"/>
    <n v="600.55799999999999"/>
    <n v="3"/>
    <n v="-8.5793999999999997"/>
    <x v="3"/>
    <x v="5"/>
  </r>
  <r>
    <s v="US-2014-134614"/>
    <x v="23"/>
    <d v="2014-09-25T00:00:00"/>
    <x v="1"/>
    <s v="PF-19165"/>
    <s v="Philip Fox"/>
    <x v="0"/>
    <s v="United States"/>
    <x v="17"/>
    <x v="8"/>
    <x v="3"/>
    <s v="FUR-TA-10004534"/>
    <x v="0"/>
    <x v="2"/>
    <s v="Bevis 44 x 96 Conference Tables"/>
    <n v="617.70000000000005"/>
    <n v="6"/>
    <n v="-407.68200000000002"/>
    <x v="2"/>
    <x v="4"/>
  </r>
  <r>
    <s v="US-2016-125969"/>
    <x v="24"/>
    <d v="2016-11-10T00:00:00"/>
    <x v="0"/>
    <s v="LS-16975"/>
    <s v="Lindsay Shagiari"/>
    <x v="2"/>
    <s v="United States"/>
    <x v="2"/>
    <x v="2"/>
    <x v="1"/>
    <s v="FUR-CH-10001146"/>
    <x v="0"/>
    <x v="1"/>
    <s v="Global Task Chair, Black"/>
    <n v="81.424000000000007"/>
    <n v="2"/>
    <n v="-9.1601999999999997"/>
    <x v="4"/>
    <x v="0"/>
  </r>
  <r>
    <s v="US-2016-125969"/>
    <x v="24"/>
    <d v="2016-11-10T00:00:00"/>
    <x v="0"/>
    <s v="LS-16975"/>
    <s v="Lindsay Shagiari"/>
    <x v="2"/>
    <s v="United States"/>
    <x v="2"/>
    <x v="2"/>
    <x v="1"/>
    <s v="FUR-FU-10003773"/>
    <x v="0"/>
    <x v="3"/>
    <s v="Eldon Cleatmat Plus Chair Mats for High Pile Carpets"/>
    <n v="238.56"/>
    <n v="3"/>
    <n v="26.241599999999998"/>
    <x v="4"/>
    <x v="0"/>
  </r>
  <r>
    <s v="CA-2016-145583"/>
    <x v="25"/>
    <d v="2016-10-19T00:00:00"/>
    <x v="1"/>
    <s v="LC-16885"/>
    <s v="Lena Creighton"/>
    <x v="0"/>
    <s v="United States"/>
    <x v="18"/>
    <x v="2"/>
    <x v="1"/>
    <s v="FUR-FU-10001706"/>
    <x v="0"/>
    <x v="3"/>
    <s v="Longer-Life Soft White Bulbs"/>
    <n v="43.12"/>
    <n v="14"/>
    <n v="20.697600000000001"/>
    <x v="6"/>
    <x v="1"/>
  </r>
  <r>
    <s v="CA-2016-110366"/>
    <x v="26"/>
    <d v="2016-09-07T00:00:00"/>
    <x v="0"/>
    <s v="JD-15895"/>
    <s v="Jonathan Doherty"/>
    <x v="1"/>
    <s v="United States"/>
    <x v="3"/>
    <x v="3"/>
    <x v="2"/>
    <s v="FUR-FU-10004848"/>
    <x v="0"/>
    <x v="3"/>
    <s v="Howard Miller 13-3/4&quot; Diameter Brushed Chrome Round Wall Clock"/>
    <n v="82.8"/>
    <n v="2"/>
    <n v="10.35"/>
    <x v="3"/>
    <x v="4"/>
  </r>
  <r>
    <s v="CA-2014-110072"/>
    <x v="27"/>
    <d v="2014-10-28T00:00:00"/>
    <x v="1"/>
    <s v="MG-17680"/>
    <s v="Maureen Gastineau"/>
    <x v="2"/>
    <s v="United States"/>
    <x v="19"/>
    <x v="15"/>
    <x v="2"/>
    <s v="FUR-FU-10000521"/>
    <x v="0"/>
    <x v="3"/>
    <s v="Seth Thomas 14&quot; Putty-Colored Wall Clock"/>
    <n v="93.888000000000005"/>
    <n v="4"/>
    <n v="12.909599999999999"/>
    <x v="6"/>
    <x v="1"/>
  </r>
  <r>
    <s v="CA-2016-114489"/>
    <x v="28"/>
    <d v="2016-12-09T00:00:00"/>
    <x v="1"/>
    <s v="JE-16165"/>
    <s v="Justin Ellison"/>
    <x v="1"/>
    <s v="United States"/>
    <x v="20"/>
    <x v="16"/>
    <x v="3"/>
    <s v="FUR-CH-10000454"/>
    <x v="0"/>
    <x v="1"/>
    <s v="Hon Deluxe Fabric Upholstered Stacking Chairs, Rounded Back"/>
    <n v="1951.84"/>
    <n v="8"/>
    <n v="585.55200000000002"/>
    <x v="4"/>
    <x v="5"/>
  </r>
  <r>
    <s v="CA-2014-104269"/>
    <x v="29"/>
    <d v="2014-03-06T00:00:00"/>
    <x v="0"/>
    <s v="DB-13060"/>
    <s v="Dave Brooks"/>
    <x v="0"/>
    <s v="United States"/>
    <x v="15"/>
    <x v="13"/>
    <x v="1"/>
    <s v="FUR-CH-10004063"/>
    <x v="0"/>
    <x v="1"/>
    <s v="Global Deluxe High-Back Manager's Chair"/>
    <n v="457.56799999999998"/>
    <n v="2"/>
    <n v="51.476399999999998"/>
    <x v="2"/>
    <x v="9"/>
  </r>
  <r>
    <s v="CA-2014-139892"/>
    <x v="30"/>
    <d v="2014-09-12T00:00:00"/>
    <x v="1"/>
    <s v="BM-11140"/>
    <s v="Becky Martin"/>
    <x v="0"/>
    <s v="United States"/>
    <x v="21"/>
    <x v="5"/>
    <x v="3"/>
    <s v="FUR-CH-10004287"/>
    <x v="0"/>
    <x v="1"/>
    <s v="SAFCO Arco Folding Chair"/>
    <n v="1740.06"/>
    <n v="9"/>
    <n v="-24.858000000000001"/>
    <x v="4"/>
    <x v="4"/>
  </r>
  <r>
    <s v="CA-2014-118962"/>
    <x v="31"/>
    <d v="2014-08-09T00:00:00"/>
    <x v="1"/>
    <s v="CS-12130"/>
    <s v="Chad Sievert"/>
    <x v="0"/>
    <s v="United States"/>
    <x v="2"/>
    <x v="2"/>
    <x v="1"/>
    <s v="FUR-CH-10003817"/>
    <x v="0"/>
    <x v="1"/>
    <s v="Global Value Steno Chair, Gray"/>
    <n v="340.14400000000001"/>
    <n v="7"/>
    <n v="21.259"/>
    <x v="4"/>
    <x v="10"/>
  </r>
  <r>
    <s v="US-2015-101511"/>
    <x v="32"/>
    <d v="2015-11-23T00:00:00"/>
    <x v="0"/>
    <s v="JE-15745"/>
    <s v="Joel Eaton"/>
    <x v="0"/>
    <s v="United States"/>
    <x v="19"/>
    <x v="15"/>
    <x v="2"/>
    <s v="FUR-CH-10004698"/>
    <x v="0"/>
    <x v="1"/>
    <s v="Padded Folding Chairs, Black, 4/Carton"/>
    <n v="396.80200000000002"/>
    <n v="7"/>
    <n v="-11.337199999999999"/>
    <x v="3"/>
    <x v="0"/>
  </r>
  <r>
    <s v="CA-2015-102281"/>
    <x v="33"/>
    <d v="2015-10-14T00:00:00"/>
    <x v="2"/>
    <s v="MP-17470"/>
    <s v="Mark Packer"/>
    <x v="2"/>
    <s v="United States"/>
    <x v="13"/>
    <x v="7"/>
    <x v="2"/>
    <s v="FUR-BO-10002613"/>
    <x v="0"/>
    <x v="0"/>
    <s v="Atlantic Metals Mobile 4-Shelf Bookcases, Custom Colors"/>
    <n v="899.13599999999997"/>
    <n v="4"/>
    <n v="112.392"/>
    <x v="3"/>
    <x v="1"/>
  </r>
  <r>
    <s v="CA-2015-102281"/>
    <x v="33"/>
    <d v="2015-10-14T00:00:00"/>
    <x v="2"/>
    <s v="MP-17470"/>
    <s v="Mark Packer"/>
    <x v="2"/>
    <s v="United States"/>
    <x v="13"/>
    <x v="7"/>
    <x v="2"/>
    <s v="FUR-BO-10002545"/>
    <x v="0"/>
    <x v="0"/>
    <s v="Atlantic Metals Mobile 3-Shelf Bookcases, Custom Colors"/>
    <n v="626.35199999999998"/>
    <n v="3"/>
    <n v="46.976399999999998"/>
    <x v="3"/>
    <x v="1"/>
  </r>
  <r>
    <s v="CA-2014-133690"/>
    <x v="34"/>
    <d v="2014-08-05T00:00:00"/>
    <x v="2"/>
    <s v="BS-11755"/>
    <s v="Bruce Stewart"/>
    <x v="0"/>
    <s v="United States"/>
    <x v="22"/>
    <x v="12"/>
    <x v="1"/>
    <s v="FUR-TA-10004289"/>
    <x v="0"/>
    <x v="2"/>
    <s v="BoxOffice By Design Rectangular and Half-Moon Meeting Room Tables"/>
    <n v="218.75"/>
    <n v="2"/>
    <n v="-161.875"/>
    <x v="3"/>
    <x v="10"/>
  </r>
  <r>
    <s v="CA-2017-126382"/>
    <x v="35"/>
    <d v="2017-06-07T00:00:00"/>
    <x v="1"/>
    <s v="HK-14890"/>
    <s v="Heather Kirkland"/>
    <x v="1"/>
    <s v="United States"/>
    <x v="20"/>
    <x v="9"/>
    <x v="0"/>
    <s v="FUR-FU-10002960"/>
    <x v="0"/>
    <x v="3"/>
    <s v="Eldon 200 Class Desk Accessories, Burgundy"/>
    <n v="35.167999999999999"/>
    <n v="7"/>
    <n v="9.6712000000000007"/>
    <x v="4"/>
    <x v="2"/>
  </r>
  <r>
    <s v="CA-2015-146262"/>
    <x v="36"/>
    <d v="2015-01-09T00:00:00"/>
    <x v="1"/>
    <s v="VW-21775"/>
    <s v="Victoria Wilson"/>
    <x v="1"/>
    <s v="United States"/>
    <x v="23"/>
    <x v="15"/>
    <x v="2"/>
    <s v="FUR-BO-10004695"/>
    <x v="0"/>
    <x v="0"/>
    <s v="O'Sullivan 2-Door Barrister Bookcase in Odessa Pine"/>
    <n v="452.45"/>
    <n v="5"/>
    <n v="-244.32300000000001"/>
    <x v="1"/>
    <x v="8"/>
  </r>
  <r>
    <s v="CA-2015-169397"/>
    <x v="37"/>
    <d v="2015-12-27T00:00:00"/>
    <x v="2"/>
    <s v="JB-15925"/>
    <s v="Joni Blumstein"/>
    <x v="0"/>
    <s v="United States"/>
    <x v="24"/>
    <x v="15"/>
    <x v="2"/>
    <s v="FUR-FU-10000087"/>
    <x v="0"/>
    <x v="3"/>
    <s v="Executive Impressions 14&quot; Two-Color Numerals Wall Clock"/>
    <n v="72.703999999999994"/>
    <n v="4"/>
    <n v="19.084800000000001"/>
    <x v="0"/>
    <x v="5"/>
  </r>
  <r>
    <s v="CA-2015-163055"/>
    <x v="38"/>
    <d v="2015-08-16T00:00:00"/>
    <x v="1"/>
    <s v="DS-13180"/>
    <s v="David Smith"/>
    <x v="1"/>
    <s v="United States"/>
    <x v="25"/>
    <x v="17"/>
    <x v="3"/>
    <s v="FUR-TA-10003748"/>
    <x v="0"/>
    <x v="2"/>
    <s v="Bevis 36 x 72 Conference Tables"/>
    <n v="622.45000000000005"/>
    <n v="5"/>
    <n v="136.93899999999999"/>
    <x v="1"/>
    <x v="10"/>
  </r>
  <r>
    <s v="US-2015-145436"/>
    <x v="39"/>
    <d v="2015-03-04T00:00:00"/>
    <x v="1"/>
    <s v="VD-21670"/>
    <s v="Valerie Dominguez"/>
    <x v="0"/>
    <s v="United States"/>
    <x v="11"/>
    <x v="9"/>
    <x v="0"/>
    <s v="FUR-CH-10004860"/>
    <x v="0"/>
    <x v="1"/>
    <s v="Global Low Back Tilter Chair"/>
    <n v="161.56800000000001"/>
    <n v="2"/>
    <n v="-28.2744"/>
    <x v="4"/>
    <x v="11"/>
  </r>
  <r>
    <s v="US-2015-145436"/>
    <x v="39"/>
    <d v="2015-03-04T00:00:00"/>
    <x v="1"/>
    <s v="VD-21670"/>
    <s v="Valerie Dominguez"/>
    <x v="0"/>
    <s v="United States"/>
    <x v="11"/>
    <x v="9"/>
    <x v="0"/>
    <s v="FUR-CH-10004477"/>
    <x v="0"/>
    <x v="1"/>
    <s v="Global Push Button Manager's Chair, Indigo"/>
    <n v="389.69600000000003"/>
    <n v="8"/>
    <n v="43.840800000000002"/>
    <x v="4"/>
    <x v="11"/>
  </r>
  <r>
    <s v="US-2017-100930"/>
    <x v="40"/>
    <d v="2017-04-12T00:00:00"/>
    <x v="1"/>
    <s v="CS-12400"/>
    <s v="Christopher Schild"/>
    <x v="2"/>
    <s v="United States"/>
    <x v="26"/>
    <x v="1"/>
    <x v="0"/>
    <s v="FUR-TA-10001705"/>
    <x v="0"/>
    <x v="2"/>
    <s v="Bush Advantage Collection Round Conference Table"/>
    <n v="233.86"/>
    <n v="2"/>
    <n v="-102.048"/>
    <x v="2"/>
    <x v="6"/>
  </r>
  <r>
    <s v="US-2017-100930"/>
    <x v="40"/>
    <d v="2017-04-12T00:00:00"/>
    <x v="1"/>
    <s v="CS-12400"/>
    <s v="Christopher Schild"/>
    <x v="2"/>
    <s v="United States"/>
    <x v="26"/>
    <x v="1"/>
    <x v="0"/>
    <s v="FUR-TA-10003473"/>
    <x v="0"/>
    <x v="2"/>
    <s v="Bretford Rectangular Conference Table Tops"/>
    <n v="620.61450000000002"/>
    <n v="3"/>
    <n v="-248.2458"/>
    <x v="2"/>
    <x v="6"/>
  </r>
  <r>
    <s v="US-2017-100930"/>
    <x v="40"/>
    <d v="2017-04-12T00:00:00"/>
    <x v="1"/>
    <s v="CS-12400"/>
    <s v="Christopher Schild"/>
    <x v="2"/>
    <s v="United States"/>
    <x v="26"/>
    <x v="1"/>
    <x v="0"/>
    <s v="FUR-FU-10004017"/>
    <x v="0"/>
    <x v="3"/>
    <s v="Tenex Contemporary Contur Chairmats for Low and Medium Pile Carpet, Computer, 39&quot; x 49&quot;"/>
    <n v="258.072"/>
    <n v="3"/>
    <n v="0"/>
    <x v="2"/>
    <x v="6"/>
  </r>
  <r>
    <s v="CA-2016-157749"/>
    <x v="41"/>
    <d v="2016-06-09T00:00:00"/>
    <x v="0"/>
    <s v="KL-16645"/>
    <s v="Ken Lonsdale"/>
    <x v="0"/>
    <s v="United States"/>
    <x v="9"/>
    <x v="8"/>
    <x v="3"/>
    <s v="FUR-FU-10000576"/>
    <x v="0"/>
    <x v="3"/>
    <s v="Luxo Professional Fluorescent Magnifier Lamp with Clamp-Mount Base"/>
    <n v="419.68"/>
    <n v="5"/>
    <n v="-356.72800000000001"/>
    <x v="2"/>
    <x v="2"/>
  </r>
  <r>
    <s v="CA-2016-157749"/>
    <x v="41"/>
    <d v="2016-06-09T00:00:00"/>
    <x v="0"/>
    <s v="KL-16645"/>
    <s v="Ken Lonsdale"/>
    <x v="0"/>
    <s v="United States"/>
    <x v="9"/>
    <x v="8"/>
    <x v="3"/>
    <s v="FUR-FU-10004351"/>
    <x v="0"/>
    <x v="3"/>
    <s v="Staple-based wall hangings"/>
    <n v="11.688000000000001"/>
    <n v="3"/>
    <n v="-4.6752000000000002"/>
    <x v="2"/>
    <x v="2"/>
  </r>
  <r>
    <s v="CA-2016-157749"/>
    <x v="41"/>
    <d v="2016-06-09T00:00:00"/>
    <x v="0"/>
    <s v="KL-16645"/>
    <s v="Ken Lonsdale"/>
    <x v="0"/>
    <s v="United States"/>
    <x v="9"/>
    <x v="8"/>
    <x v="3"/>
    <s v="FUR-TA-10002607"/>
    <x v="0"/>
    <x v="2"/>
    <s v="KI Conference Tables"/>
    <n v="177.22499999999999"/>
    <n v="5"/>
    <n v="-120.51300000000001"/>
    <x v="2"/>
    <x v="2"/>
  </r>
  <r>
    <s v="CA-2016-157749"/>
    <x v="41"/>
    <d v="2016-06-09T00:00:00"/>
    <x v="0"/>
    <s v="KL-16645"/>
    <s v="Ken Lonsdale"/>
    <x v="0"/>
    <s v="United States"/>
    <x v="9"/>
    <x v="8"/>
    <x v="3"/>
    <s v="FUR-FU-10002505"/>
    <x v="0"/>
    <x v="3"/>
    <s v="Eldon 100 Class Desk Accessories"/>
    <n v="4.0439999999999996"/>
    <n v="3"/>
    <n v="-2.8308"/>
    <x v="2"/>
    <x v="2"/>
  </r>
  <r>
    <s v="CA-2014-131926"/>
    <x v="42"/>
    <d v="2014-06-06T00:00:00"/>
    <x v="0"/>
    <s v="DW-13480"/>
    <s v="Dianna Wilson"/>
    <x v="2"/>
    <s v="United States"/>
    <x v="27"/>
    <x v="11"/>
    <x v="3"/>
    <s v="FUR-CH-10004063"/>
    <x v="0"/>
    <x v="1"/>
    <s v="Global Deluxe High-Back Manager's Chair"/>
    <n v="2001.86"/>
    <n v="7"/>
    <n v="580.5394"/>
    <x v="2"/>
    <x v="2"/>
  </r>
  <r>
    <s v="CA-2016-154739"/>
    <x v="43"/>
    <d v="2016-12-15T00:00:00"/>
    <x v="0"/>
    <s v="LH-17155"/>
    <s v="Logan Haushalter"/>
    <x v="0"/>
    <s v="United States"/>
    <x v="28"/>
    <x v="2"/>
    <x v="1"/>
    <s v="FUR-CH-10002965"/>
    <x v="0"/>
    <x v="1"/>
    <s v="Global Leather Highback Executive Chair with Pneumatic Height Adjustment, Black"/>
    <n v="321.56799999999998"/>
    <n v="2"/>
    <n v="28.1372"/>
    <x v="2"/>
    <x v="5"/>
  </r>
  <r>
    <s v="US-2015-159982"/>
    <x v="44"/>
    <d v="2015-12-04T00:00:00"/>
    <x v="1"/>
    <s v="DR-12880"/>
    <s v="Dan Reichenbach"/>
    <x v="1"/>
    <s v="United States"/>
    <x v="9"/>
    <x v="8"/>
    <x v="3"/>
    <s v="FUR-FU-10002505"/>
    <x v="0"/>
    <x v="3"/>
    <s v="Eldon 100 Class Desk Accessories"/>
    <n v="12.132"/>
    <n v="9"/>
    <n v="-8.4923999999999999"/>
    <x v="6"/>
    <x v="0"/>
  </r>
  <r>
    <s v="CA-2015-155334"/>
    <x v="45"/>
    <d v="2015-07-31T00:00:00"/>
    <x v="2"/>
    <s v="HA-14920"/>
    <s v="Helen Andreada"/>
    <x v="0"/>
    <s v="United States"/>
    <x v="28"/>
    <x v="2"/>
    <x v="1"/>
    <s v="FUR-FU-10003274"/>
    <x v="0"/>
    <x v="3"/>
    <s v="Regeneration Desk Collection"/>
    <n v="5.28"/>
    <n v="3"/>
    <n v="2.3231999999999999"/>
    <x v="5"/>
    <x v="3"/>
  </r>
  <r>
    <s v="CA-2015-130890"/>
    <x v="46"/>
    <d v="2015-11-06T00:00:00"/>
    <x v="1"/>
    <s v="JO-15280"/>
    <s v="Jas O'Carroll"/>
    <x v="0"/>
    <s v="United States"/>
    <x v="2"/>
    <x v="2"/>
    <x v="1"/>
    <s v="FUR-TA-10002903"/>
    <x v="0"/>
    <x v="2"/>
    <s v="Bevis Round Bullnose 29&quot; High Table Top"/>
    <n v="1038.8399999999999"/>
    <n v="5"/>
    <n v="51.942"/>
    <x v="4"/>
    <x v="0"/>
  </r>
  <r>
    <s v="CA-2016-110772"/>
    <x v="47"/>
    <d v="2016-11-24T00:00:00"/>
    <x v="0"/>
    <s v="NZ-18565"/>
    <s v="Nick Zandusky"/>
    <x v="2"/>
    <s v="United States"/>
    <x v="29"/>
    <x v="15"/>
    <x v="2"/>
    <s v="FUR-BO-10004709"/>
    <x v="0"/>
    <x v="0"/>
    <s v="Bush Westfield Collection Bookcases, Medium Cherry Finish"/>
    <n v="86.97"/>
    <n v="3"/>
    <n v="-48.703200000000002"/>
    <x v="4"/>
    <x v="0"/>
  </r>
  <r>
    <s v="CA-2014-111451"/>
    <x v="22"/>
    <d v="2014-12-28T00:00:00"/>
    <x v="2"/>
    <s v="KL-16555"/>
    <s v="Kelly Lampkin"/>
    <x v="1"/>
    <s v="United States"/>
    <x v="30"/>
    <x v="12"/>
    <x v="1"/>
    <s v="FUR-FU-10004091"/>
    <x v="0"/>
    <x v="3"/>
    <s v="Howard Miller 13&quot; Diameter Goldtone Round Wall Clock"/>
    <n v="300.416"/>
    <n v="8"/>
    <n v="78.859200000000001"/>
    <x v="3"/>
    <x v="5"/>
  </r>
  <r>
    <s v="CA-2014-111451"/>
    <x v="22"/>
    <d v="2014-12-28T00:00:00"/>
    <x v="2"/>
    <s v="KL-16555"/>
    <s v="Kelly Lampkin"/>
    <x v="1"/>
    <s v="United States"/>
    <x v="30"/>
    <x v="12"/>
    <x v="1"/>
    <s v="FUR-CH-10001891"/>
    <x v="0"/>
    <x v="1"/>
    <s v="Global Deluxe Office Fabric Chairs"/>
    <n v="230.352"/>
    <n v="3"/>
    <n v="20.155799999999999"/>
    <x v="3"/>
    <x v="5"/>
  </r>
  <r>
    <s v="CA-2014-111451"/>
    <x v="22"/>
    <d v="2014-12-28T00:00:00"/>
    <x v="2"/>
    <s v="KL-16555"/>
    <s v="Kelly Lampkin"/>
    <x v="1"/>
    <s v="United States"/>
    <x v="30"/>
    <x v="12"/>
    <x v="1"/>
    <s v="FUR-FU-10002918"/>
    <x v="0"/>
    <x v="3"/>
    <s v="Eldon ClusterMat Chair Mat with Cordless Antistatic Protection"/>
    <n v="218.352"/>
    <n v="3"/>
    <n v="-24.564599999999999"/>
    <x v="3"/>
    <x v="5"/>
  </r>
  <r>
    <s v="CA-2016-142545"/>
    <x v="48"/>
    <d v="2016-11-03T00:00:00"/>
    <x v="1"/>
    <s v="JD-15895"/>
    <s v="Jonathan Doherty"/>
    <x v="1"/>
    <s v="United States"/>
    <x v="31"/>
    <x v="18"/>
    <x v="2"/>
    <s v="FUR-FU-10001861"/>
    <x v="0"/>
    <x v="3"/>
    <s v="Floodlight Indoor Halogen Bulbs, 1 Bulb per Pack, 60 Watts"/>
    <n v="77.599999999999994"/>
    <n v="4"/>
    <n v="38.024000000000001"/>
    <x v="6"/>
    <x v="1"/>
  </r>
  <r>
    <s v="US-2017-152380"/>
    <x v="49"/>
    <d v="2017-11-23T00:00:00"/>
    <x v="1"/>
    <s v="JH-15910"/>
    <s v="Jonathan Howell"/>
    <x v="0"/>
    <s v="United States"/>
    <x v="9"/>
    <x v="8"/>
    <x v="3"/>
    <s v="FUR-TA-10002533"/>
    <x v="0"/>
    <x v="2"/>
    <s v="BPI Conference Tables"/>
    <n v="219.07499999999999"/>
    <n v="3"/>
    <n v="-131.44499999999999"/>
    <x v="4"/>
    <x v="0"/>
  </r>
  <r>
    <s v="CA-2015-144253"/>
    <x v="50"/>
    <d v="2015-05-09T00:00:00"/>
    <x v="0"/>
    <s v="AS-10225"/>
    <s v="Alan Schoenberger"/>
    <x v="1"/>
    <s v="United States"/>
    <x v="13"/>
    <x v="7"/>
    <x v="2"/>
    <s v="FUR-FU-10002671"/>
    <x v="0"/>
    <x v="3"/>
    <s v="Electrix 20W Halogen Replacement Bulb for Zoom-In Desk Lamp"/>
    <n v="26.8"/>
    <n v="2"/>
    <n v="12.864000000000001"/>
    <x v="2"/>
    <x v="7"/>
  </r>
  <r>
    <s v="CA-2016-142902"/>
    <x v="51"/>
    <d v="2016-09-14T00:00:00"/>
    <x v="0"/>
    <s v="BP-11185"/>
    <s v="Ben Peterman"/>
    <x v="1"/>
    <s v="United States"/>
    <x v="32"/>
    <x v="12"/>
    <x v="1"/>
    <s v="FUR-FU-10001918"/>
    <x v="0"/>
    <x v="3"/>
    <s v="C-Line Cubicle Keepers Polyproplyene Holder With Velcro Backings"/>
    <n v="15.135999999999999"/>
    <n v="4"/>
    <n v="3.5948000000000002"/>
    <x v="3"/>
    <x v="4"/>
  </r>
  <r>
    <s v="CA-2016-142902"/>
    <x v="51"/>
    <d v="2016-09-14T00:00:00"/>
    <x v="0"/>
    <s v="BP-11185"/>
    <s v="Ben Peterman"/>
    <x v="1"/>
    <s v="United States"/>
    <x v="32"/>
    <x v="12"/>
    <x v="1"/>
    <s v="FUR-CH-10004086"/>
    <x v="0"/>
    <x v="1"/>
    <s v="Hon 4070 Series Pagoda Armless Upholstered Stacking Chairs"/>
    <n v="466.76799999999997"/>
    <n v="2"/>
    <n v="52.511400000000002"/>
    <x v="3"/>
    <x v="4"/>
  </r>
  <r>
    <s v="CA-2016-142902"/>
    <x v="51"/>
    <d v="2016-09-14T00:00:00"/>
    <x v="0"/>
    <s v="BP-11185"/>
    <s v="Ben Peterman"/>
    <x v="1"/>
    <s v="United States"/>
    <x v="32"/>
    <x v="12"/>
    <x v="1"/>
    <s v="FUR-FU-10001756"/>
    <x v="0"/>
    <x v="3"/>
    <s v="Eldon Expressions Desk Accessory, Wood Photo Frame, Mahogany"/>
    <n v="15.231999999999999"/>
    <n v="1"/>
    <n v="1.7136"/>
    <x v="3"/>
    <x v="4"/>
  </r>
  <r>
    <s v="CA-2014-120887"/>
    <x v="52"/>
    <d v="2014-10-03T00:00:00"/>
    <x v="1"/>
    <s v="TS-21205"/>
    <s v="Thomas Seio"/>
    <x v="1"/>
    <s v="United States"/>
    <x v="33"/>
    <x v="18"/>
    <x v="2"/>
    <s v="FUR-FU-10001588"/>
    <x v="0"/>
    <x v="3"/>
    <s v="Deflect-o SuperTray Unbreakable Stackable Tray, Letter, Black"/>
    <n v="87.54"/>
    <n v="3"/>
    <n v="37.642200000000003"/>
    <x v="6"/>
    <x v="4"/>
  </r>
  <r>
    <s v="CA-2014-164973"/>
    <x v="53"/>
    <d v="2014-11-09T00:00:00"/>
    <x v="1"/>
    <s v="NM-18445"/>
    <s v="Nathan Mautz"/>
    <x v="2"/>
    <s v="United States"/>
    <x v="13"/>
    <x v="7"/>
    <x v="2"/>
    <s v="FUR-CH-10002602"/>
    <x v="0"/>
    <x v="1"/>
    <s v="DMI Arturo Collection Mission-style Design Wood Chair"/>
    <n v="135.88200000000001"/>
    <n v="1"/>
    <n v="24.1568"/>
    <x v="2"/>
    <x v="0"/>
  </r>
  <r>
    <s v="CA-2017-153339"/>
    <x v="54"/>
    <d v="2017-11-05T00:00:00"/>
    <x v="0"/>
    <s v="DJ-13510"/>
    <s v="Don Jones"/>
    <x v="1"/>
    <s v="United States"/>
    <x v="34"/>
    <x v="9"/>
    <x v="0"/>
    <s v="FUR-FU-10001967"/>
    <x v="0"/>
    <x v="3"/>
    <s v="Telescoping Adjustable Floor Lamp"/>
    <n v="15.992000000000001"/>
    <n v="1"/>
    <n v="0.99950000000000006"/>
    <x v="3"/>
    <x v="0"/>
  </r>
  <r>
    <s v="US-2016-141544"/>
    <x v="55"/>
    <d v="2016-09-01T00:00:00"/>
    <x v="2"/>
    <s v="PO-18850"/>
    <s v="Patrick O'Brill"/>
    <x v="0"/>
    <s v="United States"/>
    <x v="3"/>
    <x v="3"/>
    <x v="2"/>
    <s v="FUR-CH-10003312"/>
    <x v="0"/>
    <x v="1"/>
    <s v="Hon 2090 ÒPillow SoftÓ Series Mid Back Swivel/Tilt Chairs"/>
    <n v="786.74400000000003"/>
    <n v="4"/>
    <n v="-258.5016"/>
    <x v="3"/>
    <x v="10"/>
  </r>
  <r>
    <s v="CA-2014-129924"/>
    <x v="56"/>
    <d v="2014-07-17T00:00:00"/>
    <x v="1"/>
    <s v="AC-10420"/>
    <s v="Alyssa Crouse"/>
    <x v="1"/>
    <s v="United States"/>
    <x v="28"/>
    <x v="2"/>
    <x v="1"/>
    <s v="FUR-TA-10004575"/>
    <x v="0"/>
    <x v="2"/>
    <s v="Hon 5100 Series Wood Tables"/>
    <n v="698.35199999999998"/>
    <n v="3"/>
    <n v="-17.4588"/>
    <x v="2"/>
    <x v="3"/>
  </r>
  <r>
    <s v="CA-2016-138520"/>
    <x v="57"/>
    <d v="2016-04-13T00:00:00"/>
    <x v="1"/>
    <s v="JL-15505"/>
    <s v="Jeremy Lonsdale"/>
    <x v="0"/>
    <s v="United States"/>
    <x v="13"/>
    <x v="7"/>
    <x v="2"/>
    <s v="FUR-BO-10002268"/>
    <x v="0"/>
    <x v="0"/>
    <s v="Sauder Barrister Bookcases"/>
    <n v="388.70400000000001"/>
    <n v="6"/>
    <n v="-4.8587999999999996"/>
    <x v="2"/>
    <x v="6"/>
  </r>
  <r>
    <s v="CA-2017-144904"/>
    <x v="58"/>
    <d v="2017-10-01T00:00:00"/>
    <x v="1"/>
    <s v="KW-16435"/>
    <s v="Katrina Willman"/>
    <x v="0"/>
    <s v="United States"/>
    <x v="13"/>
    <x v="7"/>
    <x v="2"/>
    <s v="FUR-CH-10000785"/>
    <x v="0"/>
    <x v="1"/>
    <s v="Global Ergonomic Managers Chair"/>
    <n v="488.64600000000002"/>
    <n v="3"/>
    <n v="86.870400000000004"/>
    <x v="6"/>
    <x v="4"/>
  </r>
  <r>
    <s v="CA-2017-144904"/>
    <x v="58"/>
    <d v="2017-10-01T00:00:00"/>
    <x v="1"/>
    <s v="KW-16435"/>
    <s v="Katrina Willman"/>
    <x v="0"/>
    <s v="United States"/>
    <x v="13"/>
    <x v="7"/>
    <x v="2"/>
    <s v="FUR-FU-10000023"/>
    <x v="0"/>
    <x v="3"/>
    <s v="Eldon Wave Desk Accessories"/>
    <n v="47.12"/>
    <n v="8"/>
    <n v="20.732800000000001"/>
    <x v="6"/>
    <x v="4"/>
  </r>
  <r>
    <s v="CA-2016-155516"/>
    <x v="59"/>
    <d v="2016-10-21T00:00:00"/>
    <x v="3"/>
    <s v="MK-17905"/>
    <s v="Michael Kennedy"/>
    <x v="1"/>
    <s v="United States"/>
    <x v="35"/>
    <x v="19"/>
    <x v="2"/>
    <s v="FUR-BO-10002545"/>
    <x v="0"/>
    <x v="0"/>
    <s v="Atlantic Metals Mobile 3-Shelf Bookcases, Custom Colors"/>
    <n v="1043.92"/>
    <n v="4"/>
    <n v="271.41919999999999"/>
    <x v="7"/>
    <x v="1"/>
  </r>
  <r>
    <s v="US-2017-134481"/>
    <x v="60"/>
    <d v="2017-09-01T00:00:00"/>
    <x v="1"/>
    <s v="AR-10405"/>
    <s v="Allen Rosenblatt"/>
    <x v="1"/>
    <s v="United States"/>
    <x v="20"/>
    <x v="20"/>
    <x v="2"/>
    <s v="FUR-TA-10004915"/>
    <x v="0"/>
    <x v="2"/>
    <s v="Office Impressions End Table, 20-1/2&quot;H x 24&quot;W x 20&quot;D"/>
    <n v="1488.424"/>
    <n v="7"/>
    <n v="-297.6848"/>
    <x v="2"/>
    <x v="10"/>
  </r>
  <r>
    <s v="US-2015-168935"/>
    <x v="61"/>
    <d v="2015-12-02T00:00:00"/>
    <x v="1"/>
    <s v="DO-13435"/>
    <s v="Denny Ordway"/>
    <x v="0"/>
    <s v="United States"/>
    <x v="36"/>
    <x v="1"/>
    <x v="0"/>
    <s v="FUR-TA-10000617"/>
    <x v="0"/>
    <x v="2"/>
    <s v="Hon Practical Foundations 30 x 60 Training Table, Light Gray/Charcoal"/>
    <n v="375.45749999999998"/>
    <n v="3"/>
    <n v="-157.0095"/>
    <x v="2"/>
    <x v="0"/>
  </r>
  <r>
    <s v="CA-2015-122756"/>
    <x v="62"/>
    <d v="2015-12-07T00:00:00"/>
    <x v="1"/>
    <s v="DK-13225"/>
    <s v="Dean Katz"/>
    <x v="1"/>
    <s v="United States"/>
    <x v="3"/>
    <x v="3"/>
    <x v="2"/>
    <s v="FUR-FU-10001935"/>
    <x v="0"/>
    <x v="3"/>
    <s v="3M Hangers With Command Adhesive"/>
    <n v="2.96"/>
    <n v="1"/>
    <n v="0.77700000000000002"/>
    <x v="4"/>
    <x v="5"/>
  </r>
  <r>
    <s v="CA-2016-108987"/>
    <x v="63"/>
    <d v="2016-09-10T00:00:00"/>
    <x v="0"/>
    <s v="AG-10675"/>
    <s v="Anna Gayman"/>
    <x v="0"/>
    <s v="United States"/>
    <x v="6"/>
    <x v="5"/>
    <x v="3"/>
    <s v="FUR-BO-10004834"/>
    <x v="0"/>
    <x v="0"/>
    <s v="Riverside Palais Royal Lawyers Bookcase, Royale Cherry Finish"/>
    <n v="2396.2656000000002"/>
    <n v="4"/>
    <n v="-317.15280000000001"/>
    <x v="3"/>
    <x v="4"/>
  </r>
  <r>
    <s v="CA-2017-117457"/>
    <x v="64"/>
    <d v="2017-12-12T00:00:00"/>
    <x v="1"/>
    <s v="KH-16510"/>
    <s v="Keith Herrera"/>
    <x v="0"/>
    <s v="United States"/>
    <x v="28"/>
    <x v="2"/>
    <x v="1"/>
    <s v="FUR-TA-10002041"/>
    <x v="0"/>
    <x v="2"/>
    <s v="Bevis Round Conference Table Top, X-Base"/>
    <n v="1004.024"/>
    <n v="7"/>
    <n v="-112.95269999999999"/>
    <x v="4"/>
    <x v="5"/>
  </r>
  <r>
    <s v="CA-2017-117457"/>
    <x v="64"/>
    <d v="2017-12-12T00:00:00"/>
    <x v="1"/>
    <s v="KH-16510"/>
    <s v="Keith Herrera"/>
    <x v="0"/>
    <s v="United States"/>
    <x v="28"/>
    <x v="2"/>
    <x v="1"/>
    <s v="FUR-BO-10001972"/>
    <x v="0"/>
    <x v="0"/>
    <s v="O'Sullivan 4-Shelf Bookcase in Odessa Pine"/>
    <n v="1336.829"/>
    <n v="13"/>
    <n v="31.454799999999999"/>
    <x v="4"/>
    <x v="5"/>
  </r>
  <r>
    <s v="CA-2017-117457"/>
    <x v="64"/>
    <d v="2017-12-12T00:00:00"/>
    <x v="1"/>
    <s v="KH-16510"/>
    <s v="Keith Herrera"/>
    <x v="0"/>
    <s v="United States"/>
    <x v="28"/>
    <x v="2"/>
    <x v="1"/>
    <s v="FUR-CH-10003956"/>
    <x v="0"/>
    <x v="1"/>
    <s v="Novimex High-Tech Fabric Mesh Task Chair"/>
    <n v="113.568"/>
    <n v="2"/>
    <n v="-18.454799999999999"/>
    <x v="4"/>
    <x v="5"/>
  </r>
  <r>
    <s v="CA-2017-142636"/>
    <x v="54"/>
    <d v="2017-11-07T00:00:00"/>
    <x v="1"/>
    <s v="KC-16675"/>
    <s v="Kimberly Carter"/>
    <x v="1"/>
    <s v="United States"/>
    <x v="15"/>
    <x v="13"/>
    <x v="1"/>
    <s v="FUR-CH-10001891"/>
    <x v="0"/>
    <x v="1"/>
    <s v="Global Deluxe Office Fabric Chairs"/>
    <n v="307.13600000000002"/>
    <n v="4"/>
    <n v="26.874400000000001"/>
    <x v="4"/>
    <x v="0"/>
  </r>
  <r>
    <s v="CA-2016-148796"/>
    <x v="65"/>
    <d v="2016-04-18T00:00:00"/>
    <x v="1"/>
    <s v="PB-19150"/>
    <s v="Philip Brown"/>
    <x v="0"/>
    <s v="United States"/>
    <x v="2"/>
    <x v="2"/>
    <x v="1"/>
    <s v="FUR-CH-10004886"/>
    <x v="0"/>
    <x v="1"/>
    <s v="Bevis Steel Folding Chairs"/>
    <n v="383.8"/>
    <n v="5"/>
    <n v="38.380000000000003"/>
    <x v="4"/>
    <x v="6"/>
  </r>
  <r>
    <s v="CA-2017-125388"/>
    <x v="66"/>
    <d v="2017-10-23T00:00:00"/>
    <x v="1"/>
    <s v="MP-17965"/>
    <s v="Michael Paige"/>
    <x v="1"/>
    <s v="United States"/>
    <x v="37"/>
    <x v="20"/>
    <x v="2"/>
    <s v="FUR-FU-10004712"/>
    <x v="0"/>
    <x v="3"/>
    <s v="Westinghouse Mesh Shade Clip-On Gooseneck Lamp, Black"/>
    <n v="56.56"/>
    <n v="4"/>
    <n v="14.7056"/>
    <x v="4"/>
    <x v="1"/>
  </r>
  <r>
    <s v="CA-2017-155705"/>
    <x v="67"/>
    <d v="2017-08-23T00:00:00"/>
    <x v="0"/>
    <s v="NF-18385"/>
    <s v="Natalie Fritzler"/>
    <x v="0"/>
    <s v="United States"/>
    <x v="38"/>
    <x v="21"/>
    <x v="0"/>
    <s v="FUR-CH-10000015"/>
    <x v="0"/>
    <x v="1"/>
    <s v="Hon Multipurpose Stacking Arm Chairs"/>
    <n v="866.4"/>
    <n v="4"/>
    <n v="225.26400000000001"/>
    <x v="3"/>
    <x v="10"/>
  </r>
  <r>
    <s v="CA-2017-149160"/>
    <x v="68"/>
    <d v="2017-11-26T00:00:00"/>
    <x v="0"/>
    <s v="JM-15265"/>
    <s v="Janet Molinari"/>
    <x v="1"/>
    <s v="United States"/>
    <x v="39"/>
    <x v="17"/>
    <x v="3"/>
    <s v="FUR-FU-10003347"/>
    <x v="0"/>
    <x v="3"/>
    <s v="Coloredge Poster Frame"/>
    <n v="28.4"/>
    <n v="2"/>
    <n v="11.076000000000001"/>
    <x v="0"/>
    <x v="0"/>
  </r>
  <r>
    <s v="CA-2017-157252"/>
    <x v="69"/>
    <d v="2017-01-23T00:00:00"/>
    <x v="0"/>
    <s v="CV-12805"/>
    <s v="Cynthia Voltz"/>
    <x v="1"/>
    <s v="United States"/>
    <x v="13"/>
    <x v="7"/>
    <x v="2"/>
    <s v="FUR-CH-10003396"/>
    <x v="0"/>
    <x v="1"/>
    <s v="Global Deluxe Steno Chair"/>
    <n v="207.846"/>
    <n v="3"/>
    <n v="2.3094000000000001"/>
    <x v="0"/>
    <x v="8"/>
  </r>
  <r>
    <s v="CA-2016-115756"/>
    <x v="26"/>
    <d v="2016-09-07T00:00:00"/>
    <x v="0"/>
    <s v="PK-19075"/>
    <s v="Pete Kriz"/>
    <x v="0"/>
    <s v="United States"/>
    <x v="25"/>
    <x v="17"/>
    <x v="3"/>
    <s v="FUR-FU-10000246"/>
    <x v="0"/>
    <x v="3"/>
    <s v="Aluminum Document Frame"/>
    <n v="12.22"/>
    <n v="1"/>
    <n v="3.6659999999999999"/>
    <x v="3"/>
    <x v="4"/>
  </r>
  <r>
    <s v="CA-2016-115756"/>
    <x v="26"/>
    <d v="2016-09-07T00:00:00"/>
    <x v="0"/>
    <s v="PK-19075"/>
    <s v="Pete Kriz"/>
    <x v="0"/>
    <s v="United States"/>
    <x v="25"/>
    <x v="17"/>
    <x v="3"/>
    <s v="FUR-CH-10002372"/>
    <x v="0"/>
    <x v="1"/>
    <s v="Office Star - Ergonomically Designed Knee Chair"/>
    <n v="242.94"/>
    <n v="3"/>
    <n v="29.152799999999999"/>
    <x v="3"/>
    <x v="4"/>
  </r>
  <r>
    <s v="CA-2017-154214"/>
    <x v="70"/>
    <d v="2017-03-25T00:00:00"/>
    <x v="0"/>
    <s v="TB-21595"/>
    <s v="Troy Blackwell"/>
    <x v="0"/>
    <s v="United States"/>
    <x v="29"/>
    <x v="6"/>
    <x v="3"/>
    <s v="FUR-FU-10000206"/>
    <x v="0"/>
    <x v="3"/>
    <s v="GE General Purpose, Extra Long Life, Showcase &amp; Floodlight Incandescent Bulbs"/>
    <n v="2.91"/>
    <n v="1"/>
    <n v="1.3676999999999999"/>
    <x v="2"/>
    <x v="9"/>
  </r>
  <r>
    <s v="CA-2017-147277"/>
    <x v="71"/>
    <d v="2017-10-24T00:00:00"/>
    <x v="1"/>
    <s v="EB-13705"/>
    <s v="Ed Braxton"/>
    <x v="1"/>
    <s v="United States"/>
    <x v="40"/>
    <x v="15"/>
    <x v="2"/>
    <s v="FUR-TA-10001539"/>
    <x v="0"/>
    <x v="2"/>
    <s v="Chromcraft Rectangular Conference Tables"/>
    <n v="284.36399999999998"/>
    <n v="2"/>
    <n v="-75.830399999999997"/>
    <x v="4"/>
    <x v="1"/>
  </r>
  <r>
    <s v="US-2014-110674"/>
    <x v="72"/>
    <d v="2014-02-18T00:00:00"/>
    <x v="1"/>
    <s v="SC-20095"/>
    <s v="Sanjit Chand"/>
    <x v="0"/>
    <s v="United States"/>
    <x v="41"/>
    <x v="2"/>
    <x v="1"/>
    <s v="FUR-CH-10000225"/>
    <x v="0"/>
    <x v="1"/>
    <s v="Global Geo Office Task Chair, Gray"/>
    <n v="129.56800000000001"/>
    <n v="2"/>
    <n v="-24.294"/>
    <x v="6"/>
    <x v="11"/>
  </r>
  <r>
    <s v="US-2016-157945"/>
    <x v="73"/>
    <d v="2016-10-01T00:00:00"/>
    <x v="1"/>
    <s v="NF-18385"/>
    <s v="Natalie Fritzler"/>
    <x v="0"/>
    <s v="United States"/>
    <x v="42"/>
    <x v="8"/>
    <x v="3"/>
    <s v="FUR-CH-10002331"/>
    <x v="0"/>
    <x v="1"/>
    <s v="Hon 4700 Series Mobuis Mid-Back Task Chairs with Adjustable Arms"/>
    <n v="747.55799999999999"/>
    <n v="3"/>
    <n v="-96.114599999999996"/>
    <x v="2"/>
    <x v="4"/>
  </r>
  <r>
    <s v="CA-2016-109869"/>
    <x v="74"/>
    <d v="2016-04-29T00:00:00"/>
    <x v="1"/>
    <s v="TN-21040"/>
    <s v="Tanja Norvell"/>
    <x v="2"/>
    <s v="United States"/>
    <x v="43"/>
    <x v="22"/>
    <x v="1"/>
    <s v="FUR-FU-10000023"/>
    <x v="0"/>
    <x v="3"/>
    <s v="Eldon Wave Desk Accessories"/>
    <n v="23.56"/>
    <n v="5"/>
    <n v="7.0679999999999996"/>
    <x v="1"/>
    <x v="6"/>
  </r>
  <r>
    <s v="CA-2016-109869"/>
    <x v="74"/>
    <d v="2016-04-29T00:00:00"/>
    <x v="1"/>
    <s v="TN-21040"/>
    <s v="Tanja Norvell"/>
    <x v="2"/>
    <s v="United States"/>
    <x v="43"/>
    <x v="22"/>
    <x v="1"/>
    <s v="FUR-TA-10001889"/>
    <x v="0"/>
    <x v="2"/>
    <s v="Bush Advantage Collection Racetrack Conference Table"/>
    <n v="1272.6300000000001"/>
    <n v="6"/>
    <n v="-814.48320000000001"/>
    <x v="1"/>
    <x v="6"/>
  </r>
  <r>
    <s v="US-2015-101399"/>
    <x v="75"/>
    <d v="2015-01-24T00:00:00"/>
    <x v="1"/>
    <s v="JS-15940"/>
    <s v="Joni Sundaresam"/>
    <x v="2"/>
    <s v="United States"/>
    <x v="44"/>
    <x v="8"/>
    <x v="3"/>
    <s v="FUR-FU-10002918"/>
    <x v="0"/>
    <x v="3"/>
    <s v="Eldon ClusterMat Chair Mat with Cordless Antistatic Protection"/>
    <n v="254.744"/>
    <n v="7"/>
    <n v="-312.06139999999999"/>
    <x v="1"/>
    <x v="8"/>
  </r>
  <r>
    <s v="CA-2017-154907"/>
    <x v="76"/>
    <d v="2017-04-04T00:00:00"/>
    <x v="1"/>
    <s v="DS-13180"/>
    <s v="David Smith"/>
    <x v="1"/>
    <s v="United States"/>
    <x v="45"/>
    <x v="5"/>
    <x v="3"/>
    <s v="FUR-BO-10002824"/>
    <x v="0"/>
    <x v="0"/>
    <s v="Bush Mission Pointe Library"/>
    <n v="205.33279999999999"/>
    <n v="2"/>
    <n v="-36.235199999999999"/>
    <x v="4"/>
    <x v="9"/>
  </r>
  <r>
    <s v="CA-2014-144666"/>
    <x v="77"/>
    <d v="2014-11-11T00:00:00"/>
    <x v="0"/>
    <s v="JP-15520"/>
    <s v="Jeremy Pistek"/>
    <x v="0"/>
    <s v="United States"/>
    <x v="28"/>
    <x v="2"/>
    <x v="1"/>
    <s v="FUR-BO-10001601"/>
    <x v="0"/>
    <x v="0"/>
    <s v="Sauder Mission Library with Doors, Fruitwood Finish"/>
    <n v="222.666"/>
    <n v="2"/>
    <n v="10.478400000000001"/>
    <x v="3"/>
    <x v="0"/>
  </r>
  <r>
    <s v="CA-2016-152632"/>
    <x v="78"/>
    <d v="2016-11-02T00:00:00"/>
    <x v="1"/>
    <s v="JE-15475"/>
    <s v="Jeremy Ellison"/>
    <x v="0"/>
    <s v="United States"/>
    <x v="8"/>
    <x v="7"/>
    <x v="2"/>
    <s v="FUR-FU-10002671"/>
    <x v="0"/>
    <x v="3"/>
    <s v="Electrix 20W Halogen Replacement Bulb for Zoom-In Desk Lamp"/>
    <n v="40.200000000000003"/>
    <n v="3"/>
    <n v="19.295999999999999"/>
    <x v="6"/>
    <x v="1"/>
  </r>
  <r>
    <s v="CA-2017-140963"/>
    <x v="79"/>
    <d v="2017-06-13T00:00:00"/>
    <x v="2"/>
    <s v="MT-18070"/>
    <s v="Michelle Tran"/>
    <x v="2"/>
    <s v="United States"/>
    <x v="2"/>
    <x v="2"/>
    <x v="1"/>
    <s v="FUR-BO-10001337"/>
    <x v="0"/>
    <x v="0"/>
    <s v="O'Sullivan Living Dimensions 2-Shelf Bookcases"/>
    <n v="514.16499999999996"/>
    <n v="5"/>
    <n v="-30.245000000000001"/>
    <x v="0"/>
    <x v="2"/>
  </r>
  <r>
    <s v="US-2016-120929"/>
    <x v="80"/>
    <d v="2016-03-21T00:00:00"/>
    <x v="0"/>
    <s v="RO-19780"/>
    <s v="Rose O'Brian"/>
    <x v="0"/>
    <s v="United States"/>
    <x v="10"/>
    <x v="9"/>
    <x v="0"/>
    <s v="FUR-TA-10001857"/>
    <x v="0"/>
    <x v="2"/>
    <s v="Balt Solid Wood Rectangular Table"/>
    <n v="189.88200000000001"/>
    <n v="3"/>
    <n v="-94.941000000000003"/>
    <x v="0"/>
    <x v="9"/>
  </r>
  <r>
    <s v="CA-2016-126158"/>
    <x v="81"/>
    <d v="2016-07-31T00:00:00"/>
    <x v="1"/>
    <s v="SC-20095"/>
    <s v="Sanjit Chand"/>
    <x v="0"/>
    <s v="United States"/>
    <x v="46"/>
    <x v="2"/>
    <x v="1"/>
    <s v="FUR-FU-10004864"/>
    <x v="0"/>
    <x v="3"/>
    <s v="Howard Miller 14-1/2&quot; Diameter Chrome Round Wall Clock"/>
    <n v="255.76"/>
    <n v="4"/>
    <n v="81.843199999999996"/>
    <x v="6"/>
    <x v="3"/>
  </r>
  <r>
    <s v="CA-2016-126158"/>
    <x v="81"/>
    <d v="2016-07-31T00:00:00"/>
    <x v="1"/>
    <s v="SC-20095"/>
    <s v="Sanjit Chand"/>
    <x v="0"/>
    <s v="United States"/>
    <x v="46"/>
    <x v="2"/>
    <x v="1"/>
    <s v="FUR-CH-10002602"/>
    <x v="0"/>
    <x v="1"/>
    <s v="DMI Arturo Collection Mission-style Design Wood Chair"/>
    <n v="241.56800000000001"/>
    <n v="2"/>
    <n v="18.117599999999999"/>
    <x v="6"/>
    <x v="3"/>
  </r>
  <r>
    <s v="CA-2016-126158"/>
    <x v="81"/>
    <d v="2016-07-31T00:00:00"/>
    <x v="1"/>
    <s v="SC-20095"/>
    <s v="Sanjit Chand"/>
    <x v="0"/>
    <s v="United States"/>
    <x v="46"/>
    <x v="2"/>
    <x v="1"/>
    <s v="FUR-FU-10000073"/>
    <x v="0"/>
    <x v="3"/>
    <s v="Deflect-O Glasstique Clear Desk Accessories"/>
    <n v="69.3"/>
    <n v="9"/>
    <n v="22.869"/>
    <x v="6"/>
    <x v="3"/>
  </r>
  <r>
    <s v="US-2016-105578"/>
    <x v="82"/>
    <d v="2016-06-04T00:00:00"/>
    <x v="1"/>
    <s v="MY-17380"/>
    <s v="Maribeth Yedwab"/>
    <x v="1"/>
    <s v="United States"/>
    <x v="47"/>
    <x v="12"/>
    <x v="1"/>
    <s v="FUR-CH-10001215"/>
    <x v="0"/>
    <x v="1"/>
    <s v="Global Troy Executive Leather Low-Back Tilter"/>
    <n v="801.56799999999998"/>
    <n v="2"/>
    <n v="50.097999999999999"/>
    <x v="2"/>
    <x v="7"/>
  </r>
  <r>
    <s v="CA-2017-135307"/>
    <x v="83"/>
    <d v="2017-11-27T00:00:00"/>
    <x v="2"/>
    <s v="LS-17245"/>
    <s v="Lynn Smith"/>
    <x v="0"/>
    <s v="United States"/>
    <x v="48"/>
    <x v="23"/>
    <x v="3"/>
    <s v="FUR-FU-10001290"/>
    <x v="0"/>
    <x v="3"/>
    <s v="Executive Impressions Supervisor Wall Clock"/>
    <n v="126.3"/>
    <n v="3"/>
    <n v="40.415999999999997"/>
    <x v="5"/>
    <x v="0"/>
  </r>
  <r>
    <s v="CA-2017-145142"/>
    <x v="84"/>
    <d v="2017-01-25T00:00:00"/>
    <x v="2"/>
    <s v="MC-17605"/>
    <s v="Matt Connell"/>
    <x v="1"/>
    <s v="United States"/>
    <x v="25"/>
    <x v="17"/>
    <x v="3"/>
    <s v="FUR-TA-10001857"/>
    <x v="0"/>
    <x v="2"/>
    <s v="Balt Solid Wood Rectangular Table"/>
    <n v="210.98"/>
    <n v="2"/>
    <n v="21.097999999999999"/>
    <x v="3"/>
    <x v="8"/>
  </r>
  <r>
    <s v="CA-2017-113558"/>
    <x v="85"/>
    <d v="2017-10-26T00:00:00"/>
    <x v="1"/>
    <s v="PH-18790"/>
    <s v="Patricia Hirasaki"/>
    <x v="2"/>
    <s v="United States"/>
    <x v="49"/>
    <x v="1"/>
    <x v="0"/>
    <s v="FUR-CH-10003379"/>
    <x v="0"/>
    <x v="1"/>
    <s v="Global Commerce Series High-Back Swivel/Tilt Chairs"/>
    <n v="683.952"/>
    <n v="3"/>
    <n v="42.747"/>
    <x v="2"/>
    <x v="1"/>
  </r>
  <r>
    <s v="CA-2017-113558"/>
    <x v="85"/>
    <d v="2017-10-26T00:00:00"/>
    <x v="1"/>
    <s v="PH-18790"/>
    <s v="Patricia Hirasaki"/>
    <x v="2"/>
    <s v="United States"/>
    <x v="49"/>
    <x v="1"/>
    <x v="0"/>
    <s v="FUR-FU-10001756"/>
    <x v="0"/>
    <x v="3"/>
    <s v="Eldon Expressions Desk Accessory, Wood Photo Frame, Mahogany"/>
    <n v="45.695999999999998"/>
    <n v="3"/>
    <n v="5.1407999999999996"/>
    <x v="2"/>
    <x v="1"/>
  </r>
  <r>
    <s v="CA-2015-102848"/>
    <x v="86"/>
    <d v="2015-11-09T00:00:00"/>
    <x v="0"/>
    <s v="KB-16240"/>
    <s v="Karen Bern"/>
    <x v="1"/>
    <s v="United States"/>
    <x v="2"/>
    <x v="2"/>
    <x v="1"/>
    <s v="FUR-CH-10000595"/>
    <x v="0"/>
    <x v="1"/>
    <s v="Safco Contoured Stacking Chairs"/>
    <n v="190.72"/>
    <n v="1"/>
    <n v="11.92"/>
    <x v="3"/>
    <x v="0"/>
  </r>
  <r>
    <s v="US-2017-129441"/>
    <x v="87"/>
    <d v="2017-09-11T00:00:00"/>
    <x v="1"/>
    <s v="JC-15340"/>
    <s v="Jasper Cacioppo"/>
    <x v="0"/>
    <s v="United States"/>
    <x v="2"/>
    <x v="2"/>
    <x v="1"/>
    <s v="FUR-FU-10000448"/>
    <x v="0"/>
    <x v="3"/>
    <s v="Tenex Chairmats For Use With Carpeted Floors"/>
    <n v="47.94"/>
    <n v="3"/>
    <n v="2.3969999999999998"/>
    <x v="4"/>
    <x v="4"/>
  </r>
  <r>
    <s v="CA-2015-134894"/>
    <x v="88"/>
    <d v="2015-12-11T00:00:00"/>
    <x v="1"/>
    <s v="DK-12985"/>
    <s v="Darren Koutras"/>
    <x v="0"/>
    <s v="United States"/>
    <x v="0"/>
    <x v="0"/>
    <x v="0"/>
    <s v="FUR-CH-10002647"/>
    <x v="0"/>
    <x v="1"/>
    <s v="Situations Contoured Folding Chairs, 4/Set"/>
    <n v="283.92"/>
    <n v="4"/>
    <n v="70.98"/>
    <x v="4"/>
    <x v="5"/>
  </r>
  <r>
    <s v="CA-2014-103849"/>
    <x v="89"/>
    <d v="2014-05-16T00:00:00"/>
    <x v="1"/>
    <s v="PG-18895"/>
    <s v="Paul Gonzalez"/>
    <x v="0"/>
    <s v="United States"/>
    <x v="50"/>
    <x v="5"/>
    <x v="3"/>
    <s v="FUR-FU-10000723"/>
    <x v="0"/>
    <x v="3"/>
    <s v="Deflect-o EconoMat Studded, No Bevel Mat for Low Pile Carpeting"/>
    <n v="66.111999999999995"/>
    <n v="4"/>
    <n v="-84.2928"/>
    <x v="2"/>
    <x v="7"/>
  </r>
  <r>
    <s v="CA-2016-136406"/>
    <x v="90"/>
    <d v="2016-04-17T00:00:00"/>
    <x v="0"/>
    <s v="BD-11320"/>
    <s v="Bill Donatelli"/>
    <x v="0"/>
    <s v="United States"/>
    <x v="28"/>
    <x v="2"/>
    <x v="1"/>
    <s v="FUR-CH-10002024"/>
    <x v="0"/>
    <x v="1"/>
    <s v="HON 5400 Series Task Chairs for Big and Tall"/>
    <n v="1121.568"/>
    <n v="2"/>
    <n v="0"/>
    <x v="3"/>
    <x v="6"/>
  </r>
  <r>
    <s v="CA-2017-112774"/>
    <x v="91"/>
    <d v="2017-09-12T00:00:00"/>
    <x v="2"/>
    <s v="RC-19960"/>
    <s v="Ryan Crowe"/>
    <x v="0"/>
    <s v="United States"/>
    <x v="51"/>
    <x v="1"/>
    <x v="0"/>
    <s v="FUR-FU-10003039"/>
    <x v="0"/>
    <x v="3"/>
    <s v="Howard Miller 11-1/2&quot; Diameter Grantwood Wall Clock"/>
    <n v="34.503999999999998"/>
    <n v="1"/>
    <n v="6.0381999999999998"/>
    <x v="5"/>
    <x v="4"/>
  </r>
  <r>
    <s v="CA-2016-113243"/>
    <x v="92"/>
    <d v="2016-06-15T00:00:00"/>
    <x v="1"/>
    <s v="OT-18730"/>
    <s v="Olvera Toch"/>
    <x v="0"/>
    <s v="United States"/>
    <x v="2"/>
    <x v="2"/>
    <x v="1"/>
    <s v="FUR-TA-10004256"/>
    <x v="0"/>
    <x v="2"/>
    <s v="Bretford ÒJust In TimeÓ Height-Adjustable Multi-Task Work Tables"/>
    <n v="1335.68"/>
    <n v="4"/>
    <n v="-217.048"/>
    <x v="2"/>
    <x v="2"/>
  </r>
  <r>
    <s v="CA-2017-118731"/>
    <x v="93"/>
    <d v="2017-11-22T00:00:00"/>
    <x v="0"/>
    <s v="LP-17080"/>
    <s v="Liz Pelletier"/>
    <x v="0"/>
    <s v="United States"/>
    <x v="28"/>
    <x v="2"/>
    <x v="1"/>
    <s v="FUR-FU-10003347"/>
    <x v="0"/>
    <x v="3"/>
    <s v="Coloredge Poster Frame"/>
    <n v="42.6"/>
    <n v="3"/>
    <n v="16.614000000000001"/>
    <x v="3"/>
    <x v="0"/>
  </r>
  <r>
    <s v="CA-2014-145576"/>
    <x v="94"/>
    <d v="2014-09-18T00:00:00"/>
    <x v="0"/>
    <s v="CA-12775"/>
    <s v="Cynthia Arntzen"/>
    <x v="0"/>
    <s v="United States"/>
    <x v="26"/>
    <x v="1"/>
    <x v="0"/>
    <s v="FUR-FU-10004020"/>
    <x v="0"/>
    <x v="3"/>
    <s v="Advantus Panel Wall Acrylic Frame"/>
    <n v="13.128"/>
    <n v="3"/>
    <n v="3.7743000000000002"/>
    <x v="4"/>
    <x v="4"/>
  </r>
  <r>
    <s v="CA-2017-156951"/>
    <x v="95"/>
    <d v="2017-10-08T00:00:00"/>
    <x v="1"/>
    <s v="EB-13840"/>
    <s v="Ellis Ballard"/>
    <x v="1"/>
    <s v="United States"/>
    <x v="15"/>
    <x v="13"/>
    <x v="1"/>
    <s v="FUR-CH-10004997"/>
    <x v="0"/>
    <x v="1"/>
    <s v="Hon Every-Day Series Multi-Task Chairs"/>
    <n v="451.15199999999999"/>
    <n v="3"/>
    <n v="0"/>
    <x v="1"/>
    <x v="1"/>
  </r>
  <r>
    <s v="CA-2017-118640"/>
    <x v="96"/>
    <d v="2017-07-26T00:00:00"/>
    <x v="1"/>
    <s v="CS-11950"/>
    <s v="Carlos Soltero"/>
    <x v="0"/>
    <s v="United States"/>
    <x v="9"/>
    <x v="8"/>
    <x v="3"/>
    <s v="FUR-FU-10001475"/>
    <x v="0"/>
    <x v="3"/>
    <s v="Contract Clock, 14&quot;, Brown"/>
    <n v="8.7919999999999998"/>
    <n v="1"/>
    <n v="-5.7148000000000003"/>
    <x v="6"/>
    <x v="3"/>
  </r>
  <r>
    <s v="CA-2015-128139"/>
    <x v="97"/>
    <d v="2015-07-09T00:00:00"/>
    <x v="1"/>
    <s v="BD-11725"/>
    <s v="Bruce Degenhardt"/>
    <x v="0"/>
    <s v="United States"/>
    <x v="52"/>
    <x v="0"/>
    <x v="0"/>
    <s v="FUR-CH-10003956"/>
    <x v="0"/>
    <x v="1"/>
    <s v="Novimex High-Tech Fabric Mesh Task Chair"/>
    <n v="70.98"/>
    <n v="1"/>
    <n v="4.9686000000000003"/>
    <x v="6"/>
    <x v="3"/>
  </r>
  <r>
    <s v="CA-2014-131450"/>
    <x v="98"/>
    <d v="2014-08-15T00:00:00"/>
    <x v="1"/>
    <s v="LR-16915"/>
    <s v="Lena Radford"/>
    <x v="0"/>
    <s v="United States"/>
    <x v="53"/>
    <x v="2"/>
    <x v="1"/>
    <s v="FUR-FU-10001979"/>
    <x v="0"/>
    <x v="3"/>
    <s v="Dana Halogen Swing-Arm Architect Lamp"/>
    <n v="327.76"/>
    <n v="8"/>
    <n v="91.772800000000004"/>
    <x v="1"/>
    <x v="10"/>
  </r>
  <r>
    <s v="CA-2014-149958"/>
    <x v="99"/>
    <d v="2014-03-19T00:00:00"/>
    <x v="1"/>
    <s v="AS-10240"/>
    <s v="Alan Shonely"/>
    <x v="0"/>
    <s v="United States"/>
    <x v="26"/>
    <x v="1"/>
    <x v="0"/>
    <s v="FUR-FU-10001756"/>
    <x v="0"/>
    <x v="3"/>
    <s v="Eldon Expressions Desk Accessory, Wood Photo Frame, Mahogany"/>
    <n v="45.695999999999998"/>
    <n v="3"/>
    <n v="5.1407999999999996"/>
    <x v="4"/>
    <x v="9"/>
  </r>
  <r>
    <s v="CA-2017-117947"/>
    <x v="100"/>
    <d v="2017-08-23T00:00:00"/>
    <x v="0"/>
    <s v="NG-18355"/>
    <s v="Nat Gilpin"/>
    <x v="1"/>
    <s v="United States"/>
    <x v="13"/>
    <x v="7"/>
    <x v="2"/>
    <s v="FUR-FU-10003849"/>
    <x v="0"/>
    <x v="3"/>
    <s v="DAX Metal Frame, Desktop, Stepped-Edge"/>
    <n v="40.479999999999997"/>
    <n v="2"/>
    <n v="15.7872"/>
    <x v="2"/>
    <x v="10"/>
  </r>
  <r>
    <s v="CA-2017-117947"/>
    <x v="100"/>
    <d v="2017-08-23T00:00:00"/>
    <x v="0"/>
    <s v="NG-18355"/>
    <s v="Nat Gilpin"/>
    <x v="1"/>
    <s v="United States"/>
    <x v="13"/>
    <x v="7"/>
    <x v="2"/>
    <s v="FUR-FU-10000010"/>
    <x v="0"/>
    <x v="3"/>
    <s v="DAX Value U-Channel Document Frames, Easel Back"/>
    <n v="9.94"/>
    <n v="2"/>
    <n v="3.0813999999999999"/>
    <x v="2"/>
    <x v="10"/>
  </r>
  <r>
    <s v="CA-2017-117947"/>
    <x v="100"/>
    <d v="2017-08-23T00:00:00"/>
    <x v="0"/>
    <s v="NG-18355"/>
    <s v="Nat Gilpin"/>
    <x v="1"/>
    <s v="United States"/>
    <x v="13"/>
    <x v="7"/>
    <x v="2"/>
    <s v="FUR-FU-10000521"/>
    <x v="0"/>
    <x v="3"/>
    <s v="Seth Thomas 14&quot; Putty-Colored Wall Clock"/>
    <n v="88.02"/>
    <n v="3"/>
    <n v="27.286200000000001"/>
    <x v="2"/>
    <x v="10"/>
  </r>
  <r>
    <s v="CA-2015-138009"/>
    <x v="101"/>
    <d v="2015-12-03T00:00:00"/>
    <x v="1"/>
    <s v="SF-20965"/>
    <s v="Sylvia Foulston"/>
    <x v="1"/>
    <s v="United States"/>
    <x v="54"/>
    <x v="17"/>
    <x v="3"/>
    <s v="FUR-CH-10004853"/>
    <x v="0"/>
    <x v="1"/>
    <s v="Global Manager's Adjustable Task Chair, Storm"/>
    <n v="301.95999999999998"/>
    <n v="2"/>
    <n v="87.568399999999997"/>
    <x v="4"/>
    <x v="0"/>
  </r>
  <r>
    <s v="CA-2017-163020"/>
    <x v="102"/>
    <d v="2017-09-19T00:00:00"/>
    <x v="1"/>
    <s v="MO-17800"/>
    <s v="Meg O'Connel"/>
    <x v="2"/>
    <s v="United States"/>
    <x v="13"/>
    <x v="7"/>
    <x v="2"/>
    <s v="FUR-FU-10000221"/>
    <x v="0"/>
    <x v="3"/>
    <s v="Master Caster Door Stop, Brown"/>
    <n v="35.56"/>
    <n v="7"/>
    <n v="12.090400000000001"/>
    <x v="4"/>
    <x v="4"/>
  </r>
  <r>
    <s v="CA-2015-168004"/>
    <x v="103"/>
    <d v="2015-10-09T00:00:00"/>
    <x v="0"/>
    <s v="DJ-13420"/>
    <s v="Denny Joy"/>
    <x v="1"/>
    <s v="United States"/>
    <x v="55"/>
    <x v="24"/>
    <x v="0"/>
    <s v="FUR-CH-10001482"/>
    <x v="0"/>
    <x v="1"/>
    <s v="Office Star - Mesh Screen back chair with Vinyl seat"/>
    <n v="392.94"/>
    <n v="3"/>
    <n v="43.223399999999998"/>
    <x v="2"/>
    <x v="1"/>
  </r>
  <r>
    <s v="CA-2016-115917"/>
    <x v="104"/>
    <d v="2016-05-25T00:00:00"/>
    <x v="1"/>
    <s v="RB-19465"/>
    <s v="Rick Bensley"/>
    <x v="2"/>
    <s v="United States"/>
    <x v="56"/>
    <x v="2"/>
    <x v="1"/>
    <s v="FUR-FU-10000576"/>
    <x v="0"/>
    <x v="3"/>
    <s v="Luxo Professional Fluorescent Magnifier Lamp with Clamp-Mount Base"/>
    <n v="1049.2"/>
    <n v="5"/>
    <n v="272.79199999999997"/>
    <x v="2"/>
    <x v="7"/>
  </r>
  <r>
    <s v="CA-2016-147067"/>
    <x v="105"/>
    <d v="2016-12-22T00:00:00"/>
    <x v="1"/>
    <s v="JD-16150"/>
    <s v="Justin Deggeller"/>
    <x v="1"/>
    <s v="United States"/>
    <x v="12"/>
    <x v="11"/>
    <x v="3"/>
    <s v="FUR-FU-10000732"/>
    <x v="0"/>
    <x v="3"/>
    <s v="Eldon 200 Class Desk Accessories"/>
    <n v="18.84"/>
    <n v="3"/>
    <n v="6.0288000000000004"/>
    <x v="4"/>
    <x v="5"/>
  </r>
  <r>
    <s v="CA-2016-160745"/>
    <x v="106"/>
    <d v="2016-12-16T00:00:00"/>
    <x v="0"/>
    <s v="AR-10825"/>
    <s v="Anthony Rawles"/>
    <x v="1"/>
    <s v="United States"/>
    <x v="57"/>
    <x v="13"/>
    <x v="1"/>
    <s v="FUR-FU-10001935"/>
    <x v="0"/>
    <x v="3"/>
    <s v="3M Hangers With Command Adhesive"/>
    <n v="14.8"/>
    <n v="4"/>
    <n v="6.0679999999999996"/>
    <x v="2"/>
    <x v="5"/>
  </r>
  <r>
    <s v="US-2016-156097"/>
    <x v="107"/>
    <d v="2016-09-19T00:00:00"/>
    <x v="3"/>
    <s v="EH-14125"/>
    <s v="Eugene Hildebrand"/>
    <x v="2"/>
    <s v="United States"/>
    <x v="14"/>
    <x v="8"/>
    <x v="3"/>
    <s v="FUR-CH-10001215"/>
    <x v="0"/>
    <x v="1"/>
    <s v="Global Troy Executive Leather Low-Back Tilter"/>
    <n v="701.37199999999996"/>
    <n v="2"/>
    <n v="-50.097999999999999"/>
    <x v="7"/>
    <x v="4"/>
  </r>
  <r>
    <s v="CA-2015-146563"/>
    <x v="108"/>
    <d v="2015-08-28T00:00:00"/>
    <x v="1"/>
    <s v="CB-12025"/>
    <s v="Cassandra Brandow"/>
    <x v="0"/>
    <s v="United States"/>
    <x v="58"/>
    <x v="5"/>
    <x v="3"/>
    <s v="FUR-TA-10001768"/>
    <x v="0"/>
    <x v="2"/>
    <s v="Hon Racetrack Conference Tables"/>
    <n v="918.78499999999997"/>
    <n v="5"/>
    <n v="-118.12949999999999"/>
    <x v="4"/>
    <x v="10"/>
  </r>
  <r>
    <s v="CA-2014-156314"/>
    <x v="109"/>
    <d v="2014-12-26T00:00:00"/>
    <x v="2"/>
    <s v="RP-19390"/>
    <s v="Resi Pšlking"/>
    <x v="0"/>
    <s v="United States"/>
    <x v="59"/>
    <x v="15"/>
    <x v="2"/>
    <s v="FUR-FU-10003096"/>
    <x v="0"/>
    <x v="3"/>
    <s v="Master Giant Foot Doorstop, Safety Yellow"/>
    <n v="30.36"/>
    <n v="5"/>
    <n v="8.7285000000000004"/>
    <x v="3"/>
    <x v="5"/>
  </r>
  <r>
    <s v="US-2017-106663"/>
    <x v="110"/>
    <d v="2017-06-13T00:00:00"/>
    <x v="1"/>
    <s v="MO-17800"/>
    <s v="Meg O'Connel"/>
    <x v="2"/>
    <s v="United States"/>
    <x v="9"/>
    <x v="8"/>
    <x v="3"/>
    <s v="FUR-FU-10002759"/>
    <x v="0"/>
    <x v="3"/>
    <s v="12-1/2 Diameter Round Wall Clock"/>
    <n v="23.975999999999999"/>
    <n v="3"/>
    <n v="-14.3856"/>
    <x v="4"/>
    <x v="2"/>
  </r>
  <r>
    <s v="US-2017-106663"/>
    <x v="110"/>
    <d v="2017-06-13T00:00:00"/>
    <x v="1"/>
    <s v="MO-17800"/>
    <s v="Meg O'Connel"/>
    <x v="2"/>
    <s v="United States"/>
    <x v="9"/>
    <x v="8"/>
    <x v="3"/>
    <s v="FUR-TA-10000688"/>
    <x v="0"/>
    <x v="2"/>
    <s v="Chromcraft Bull-Nose Wood Round Conference Table Top, Wood Base"/>
    <n v="108.925"/>
    <n v="1"/>
    <n v="-71.890500000000003"/>
    <x v="4"/>
    <x v="2"/>
  </r>
  <r>
    <s v="US-2017-119438"/>
    <x v="111"/>
    <d v="2017-03-23T00:00:00"/>
    <x v="1"/>
    <s v="CD-11980"/>
    <s v="Carol Darley"/>
    <x v="0"/>
    <s v="United States"/>
    <x v="60"/>
    <x v="5"/>
    <x v="3"/>
    <s v="FUR-FU-10003553"/>
    <x v="0"/>
    <x v="3"/>
    <s v="Howard Miller 13-1/2&quot; Diameter Rosebrook Wall Clock"/>
    <n v="82.524000000000001"/>
    <n v="3"/>
    <n v="-41.262"/>
    <x v="2"/>
    <x v="9"/>
  </r>
  <r>
    <s v="CA-2017-161480"/>
    <x v="19"/>
    <d v="2017-12-29T00:00:00"/>
    <x v="1"/>
    <s v="RA-19285"/>
    <s v="Ralph Arnett"/>
    <x v="0"/>
    <s v="United States"/>
    <x v="13"/>
    <x v="7"/>
    <x v="2"/>
    <s v="FUR-BO-10004015"/>
    <x v="0"/>
    <x v="0"/>
    <s v="Bush Andora Bookcase, Maple/Graphite Gray Finish"/>
    <n v="191.98400000000001"/>
    <n v="2"/>
    <n v="4.7995999999999999"/>
    <x v="4"/>
    <x v="5"/>
  </r>
  <r>
    <s v="US-2014-117135"/>
    <x v="112"/>
    <d v="2014-06-23T00:00:00"/>
    <x v="0"/>
    <s v="NP-18325"/>
    <s v="Naresj Patel"/>
    <x v="0"/>
    <s v="United States"/>
    <x v="61"/>
    <x v="25"/>
    <x v="0"/>
    <s v="FUR-FU-10004071"/>
    <x v="0"/>
    <x v="3"/>
    <s v="Luxo Professional Magnifying Clamp-On Fluorescent Lamps"/>
    <n v="104.01"/>
    <n v="1"/>
    <n v="14.561400000000001"/>
    <x v="3"/>
    <x v="2"/>
  </r>
  <r>
    <s v="CA-2017-114552"/>
    <x v="113"/>
    <d v="2017-09-08T00:00:00"/>
    <x v="1"/>
    <s v="Dl-13600"/>
    <s v="Dorris liebe"/>
    <x v="1"/>
    <s v="United States"/>
    <x v="59"/>
    <x v="15"/>
    <x v="2"/>
    <s v="FUR-FU-10002960"/>
    <x v="0"/>
    <x v="3"/>
    <s v="Eldon 200 Class Desk Accessories, Burgundy"/>
    <n v="15.071999999999999"/>
    <n v="3"/>
    <n v="4.1448"/>
    <x v="6"/>
    <x v="4"/>
  </r>
  <r>
    <s v="CA-2016-163755"/>
    <x v="114"/>
    <d v="2016-11-08T00:00:00"/>
    <x v="0"/>
    <s v="AS-10285"/>
    <s v="Alejandro Savely"/>
    <x v="1"/>
    <s v="United States"/>
    <x v="15"/>
    <x v="13"/>
    <x v="1"/>
    <s v="FUR-FU-10003394"/>
    <x v="0"/>
    <x v="3"/>
    <s v="Tenex &quot;The Solids&quot; Textured Chair Mats"/>
    <n v="209.88"/>
    <n v="3"/>
    <n v="35.679600000000001"/>
    <x v="4"/>
    <x v="0"/>
  </r>
  <r>
    <s v="CA-2015-142027"/>
    <x v="115"/>
    <d v="2015-04-14T00:00:00"/>
    <x v="1"/>
    <s v="JK-15370"/>
    <s v="Jay Kimmel"/>
    <x v="0"/>
    <s v="United States"/>
    <x v="62"/>
    <x v="2"/>
    <x v="1"/>
    <s v="FUR-TA-10002774"/>
    <x v="0"/>
    <x v="2"/>
    <s v="Laminate Occasional Tables"/>
    <n v="369.91199999999998"/>
    <n v="3"/>
    <n v="-13.871700000000001"/>
    <x v="2"/>
    <x v="6"/>
  </r>
  <r>
    <s v="CA-2014-112158"/>
    <x v="116"/>
    <d v="2014-12-04T00:00:00"/>
    <x v="2"/>
    <s v="DP-13165"/>
    <s v="David Philippe"/>
    <x v="0"/>
    <s v="United States"/>
    <x v="13"/>
    <x v="7"/>
    <x v="2"/>
    <s v="FUR-BO-10003272"/>
    <x v="0"/>
    <x v="0"/>
    <s v="O'Sullivan Living Dimensions 5-Shelf Bookcases"/>
    <n v="883.92"/>
    <n v="5"/>
    <n v="-110.49"/>
    <x v="3"/>
    <x v="5"/>
  </r>
  <r>
    <s v="CA-2014-130092"/>
    <x v="117"/>
    <d v="2014-01-14T00:00:00"/>
    <x v="2"/>
    <s v="SV-20365"/>
    <s v="Seth Vernon"/>
    <x v="0"/>
    <s v="United States"/>
    <x v="63"/>
    <x v="14"/>
    <x v="2"/>
    <s v="FUR-FU-10000010"/>
    <x v="0"/>
    <x v="3"/>
    <s v="DAX Value U-Channel Document Frames, Easel Back"/>
    <n v="9.94"/>
    <n v="2"/>
    <n v="3.0813999999999999"/>
    <x v="0"/>
    <x v="8"/>
  </r>
  <r>
    <s v="CA-2017-108910"/>
    <x v="118"/>
    <d v="2017-09-29T00:00:00"/>
    <x v="1"/>
    <s v="KC-16540"/>
    <s v="Kelly Collister"/>
    <x v="0"/>
    <s v="United States"/>
    <x v="19"/>
    <x v="15"/>
    <x v="2"/>
    <s v="FUR-FU-10002253"/>
    <x v="0"/>
    <x v="3"/>
    <s v="Howard Miller 13&quot; Diameter Pewter Finish Round Wall Clock"/>
    <n v="103.056"/>
    <n v="3"/>
    <n v="24.4758"/>
    <x v="2"/>
    <x v="4"/>
  </r>
  <r>
    <s v="CA-2014-104472"/>
    <x v="119"/>
    <d v="2014-06-07T00:00:00"/>
    <x v="1"/>
    <s v="CK-12325"/>
    <s v="Christine Kargatis"/>
    <x v="2"/>
    <s v="United States"/>
    <x v="4"/>
    <x v="4"/>
    <x v="1"/>
    <s v="FUR-FU-10000246"/>
    <x v="0"/>
    <x v="3"/>
    <s v="Aluminum Document Frame"/>
    <n v="73.319999999999993"/>
    <n v="6"/>
    <n v="21.995999999999999"/>
    <x v="2"/>
    <x v="2"/>
  </r>
  <r>
    <s v="CA-2016-142335"/>
    <x v="120"/>
    <d v="2016-12-19T00:00:00"/>
    <x v="1"/>
    <s v="MP-17965"/>
    <s v="Michael Paige"/>
    <x v="1"/>
    <s v="United States"/>
    <x v="25"/>
    <x v="17"/>
    <x v="3"/>
    <s v="FUR-TA-10000198"/>
    <x v="0"/>
    <x v="2"/>
    <s v="Chromcraft Bull-Nose Wood Oval Conference Tables &amp; Bases"/>
    <n v="1652.94"/>
    <n v="3"/>
    <n v="231.41159999999999"/>
    <x v="4"/>
    <x v="5"/>
  </r>
  <r>
    <s v="CA-2014-117429"/>
    <x v="121"/>
    <d v="2014-10-13T00:00:00"/>
    <x v="1"/>
    <s v="MR-17545"/>
    <s v="Mathew Reese"/>
    <x v="2"/>
    <s v="United States"/>
    <x v="3"/>
    <x v="3"/>
    <x v="2"/>
    <s v="FUR-FU-10000222"/>
    <x v="0"/>
    <x v="3"/>
    <s v="Seth Thomas 16&quot; Steel Case Clock"/>
    <n v="129.91999999999999"/>
    <n v="5"/>
    <n v="21.111999999999998"/>
    <x v="6"/>
    <x v="1"/>
  </r>
  <r>
    <s v="US-2016-150861"/>
    <x v="122"/>
    <d v="2016-12-06T00:00:00"/>
    <x v="2"/>
    <s v="EG-13900"/>
    <s v="Emily Grady"/>
    <x v="0"/>
    <s v="United States"/>
    <x v="64"/>
    <x v="7"/>
    <x v="2"/>
    <s v="FUR-TA-10002228"/>
    <x v="0"/>
    <x v="2"/>
    <s v="Bevis Traditional Conference Table Top, Plinth Base"/>
    <n v="400.03199999999998"/>
    <n v="2"/>
    <n v="-153.34559999999999"/>
    <x v="0"/>
    <x v="5"/>
  </r>
  <r>
    <s v="US-2016-150861"/>
    <x v="122"/>
    <d v="2016-12-06T00:00:00"/>
    <x v="2"/>
    <s v="EG-13900"/>
    <s v="Emily Grady"/>
    <x v="0"/>
    <s v="United States"/>
    <x v="64"/>
    <x v="7"/>
    <x v="2"/>
    <s v="FUR-CH-10002965"/>
    <x v="0"/>
    <x v="1"/>
    <s v="Global Leather Highback Executive Chair with Pneumatic Height Adjustment, Black"/>
    <n v="542.64599999999996"/>
    <n v="3"/>
    <n v="102.49979999999999"/>
    <x v="0"/>
    <x v="5"/>
  </r>
  <r>
    <s v="CA-2017-131954"/>
    <x v="123"/>
    <d v="2017-01-25T00:00:00"/>
    <x v="1"/>
    <s v="DS-13030"/>
    <s v="Darrin Sayre"/>
    <x v="2"/>
    <s v="United States"/>
    <x v="15"/>
    <x v="13"/>
    <x v="1"/>
    <s v="FUR-BO-10001619"/>
    <x v="0"/>
    <x v="0"/>
    <s v="O'Sullivan Cherrywood Estates Traditional Bookcase"/>
    <n v="84.98"/>
    <n v="1"/>
    <n v="18.695599999999999"/>
    <x v="4"/>
    <x v="8"/>
  </r>
  <r>
    <s v="CA-2014-124429"/>
    <x v="124"/>
    <d v="2014-05-27T00:00:00"/>
    <x v="3"/>
    <s v="MH-17785"/>
    <s v="Maya Herman"/>
    <x v="1"/>
    <s v="United States"/>
    <x v="53"/>
    <x v="2"/>
    <x v="1"/>
    <s v="FUR-TA-10002607"/>
    <x v="0"/>
    <x v="2"/>
    <s v="KI Conference Tables"/>
    <n v="567.12"/>
    <n v="10"/>
    <n v="-28.356000000000002"/>
    <x v="7"/>
    <x v="7"/>
  </r>
  <r>
    <s v="CA-2017-126074"/>
    <x v="125"/>
    <d v="2017-10-06T00:00:00"/>
    <x v="1"/>
    <s v="RF-19735"/>
    <s v="Roland Fjeld"/>
    <x v="0"/>
    <s v="United States"/>
    <x v="65"/>
    <x v="17"/>
    <x v="3"/>
    <s v="FUR-FU-10003577"/>
    <x v="0"/>
    <x v="3"/>
    <s v="Nu-Dell Leatherette Frames"/>
    <n v="157.74"/>
    <n v="11"/>
    <n v="56.7864"/>
    <x v="4"/>
    <x v="1"/>
  </r>
  <r>
    <s v="CA-2015-135272"/>
    <x v="88"/>
    <d v="2015-12-12T00:00:00"/>
    <x v="1"/>
    <s v="MS-17830"/>
    <s v="Melanie Seite"/>
    <x v="0"/>
    <s v="United States"/>
    <x v="2"/>
    <x v="2"/>
    <x v="1"/>
    <s v="FUR-FU-10002759"/>
    <x v="0"/>
    <x v="3"/>
    <s v="12-1/2 Diameter Round Wall Clock"/>
    <n v="79.92"/>
    <n v="4"/>
    <n v="28.7712"/>
    <x v="2"/>
    <x v="5"/>
  </r>
  <r>
    <s v="CA-2016-140928"/>
    <x v="126"/>
    <d v="2016-09-22T00:00:00"/>
    <x v="1"/>
    <s v="NB-18655"/>
    <s v="Nona Balk"/>
    <x v="1"/>
    <s v="United States"/>
    <x v="51"/>
    <x v="1"/>
    <x v="0"/>
    <s v="FUR-TA-10001095"/>
    <x v="0"/>
    <x v="2"/>
    <s v="Chromcraft Round Conference Tables"/>
    <n v="383.43799999999999"/>
    <n v="4"/>
    <n v="-167.3184"/>
    <x v="4"/>
    <x v="4"/>
  </r>
  <r>
    <s v="CA-2014-106810"/>
    <x v="127"/>
    <d v="2014-05-20T00:00:00"/>
    <x v="1"/>
    <s v="AJ-10795"/>
    <s v="Anthony Johnson"/>
    <x v="1"/>
    <s v="United States"/>
    <x v="66"/>
    <x v="1"/>
    <x v="0"/>
    <s v="FUR-FU-10004306"/>
    <x v="0"/>
    <x v="3"/>
    <s v="Electrix Halogen Magnifier Lamp"/>
    <n v="310.88"/>
    <n v="2"/>
    <n v="23.315999999999999"/>
    <x v="6"/>
    <x v="7"/>
  </r>
  <r>
    <s v="CA-2016-157245"/>
    <x v="128"/>
    <d v="2016-05-24T00:00:00"/>
    <x v="1"/>
    <s v="LE-16810"/>
    <s v="Laurel Elliston"/>
    <x v="0"/>
    <s v="United States"/>
    <x v="58"/>
    <x v="25"/>
    <x v="0"/>
    <s v="FUR-CH-10003746"/>
    <x v="0"/>
    <x v="1"/>
    <s v="Hon 4070 Series Pagoda Round Back Stacking Chairs"/>
    <n v="641.96"/>
    <n v="2"/>
    <n v="179.74879999999999"/>
    <x v="2"/>
    <x v="7"/>
  </r>
  <r>
    <s v="CA-2017-104220"/>
    <x v="129"/>
    <d v="2017-02-05T00:00:00"/>
    <x v="1"/>
    <s v="BV-11245"/>
    <s v="Benjamin Venier"/>
    <x v="1"/>
    <s v="United States"/>
    <x v="67"/>
    <x v="26"/>
    <x v="3"/>
    <s v="FUR-FU-10002597"/>
    <x v="0"/>
    <x v="3"/>
    <s v="C-Line Magnetic Cubicle Keepers, Clear Polypropylene"/>
    <n v="34.58"/>
    <n v="7"/>
    <n v="14.5236"/>
    <x v="6"/>
    <x v="8"/>
  </r>
  <r>
    <s v="CA-2015-144267"/>
    <x v="130"/>
    <d v="2015-08-23T00:00:00"/>
    <x v="2"/>
    <s v="NZ-18565"/>
    <s v="Nick Zandusky"/>
    <x v="2"/>
    <s v="United States"/>
    <x v="28"/>
    <x v="2"/>
    <x v="1"/>
    <s v="FUR-CH-10002335"/>
    <x v="0"/>
    <x v="1"/>
    <s v="Hon GuestStacker Chair"/>
    <n v="544.00800000000004"/>
    <n v="3"/>
    <n v="40.800600000000003"/>
    <x v="3"/>
    <x v="10"/>
  </r>
  <r>
    <s v="US-2015-157014"/>
    <x v="131"/>
    <d v="2015-10-06T00:00:00"/>
    <x v="0"/>
    <s v="BM-11785"/>
    <s v="Bryan Mills"/>
    <x v="0"/>
    <s v="United States"/>
    <x v="29"/>
    <x v="15"/>
    <x v="2"/>
    <s v="FUR-BO-10004409"/>
    <x v="0"/>
    <x v="0"/>
    <s v="Safco Value Mate Series Steel Bookcases, Baked Enamel Finish on Steel, Gray"/>
    <n v="35.49"/>
    <n v="1"/>
    <n v="-15.615600000000001"/>
    <x v="0"/>
    <x v="1"/>
  </r>
  <r>
    <s v="CA-2015-154620"/>
    <x v="132"/>
    <d v="2015-12-16T00:00:00"/>
    <x v="1"/>
    <s v="LT-17110"/>
    <s v="Liz Thompson"/>
    <x v="0"/>
    <s v="United States"/>
    <x v="68"/>
    <x v="2"/>
    <x v="1"/>
    <s v="FUR-CH-10004675"/>
    <x v="0"/>
    <x v="1"/>
    <s v="Lifetime Advantage Folding Chairs, 4/Carton"/>
    <n v="348.928"/>
    <n v="2"/>
    <n v="34.892800000000001"/>
    <x v="4"/>
    <x v="5"/>
  </r>
  <r>
    <s v="CA-2015-115938"/>
    <x v="133"/>
    <d v="2015-06-30T00:00:00"/>
    <x v="1"/>
    <s v="SA-20830"/>
    <s v="Sue Ann Reed"/>
    <x v="0"/>
    <s v="United States"/>
    <x v="52"/>
    <x v="25"/>
    <x v="0"/>
    <s v="FUR-CH-10003199"/>
    <x v="0"/>
    <x v="1"/>
    <s v="Office Star - Contemporary Task Swivel Chair"/>
    <n v="332.94"/>
    <n v="3"/>
    <n v="79.905600000000007"/>
    <x v="4"/>
    <x v="2"/>
  </r>
  <r>
    <s v="CA-2015-101910"/>
    <x v="61"/>
    <d v="2015-12-03T00:00:00"/>
    <x v="1"/>
    <s v="CD-11920"/>
    <s v="Carlos Daly"/>
    <x v="0"/>
    <s v="United States"/>
    <x v="69"/>
    <x v="2"/>
    <x v="1"/>
    <s v="FUR-CH-10002647"/>
    <x v="0"/>
    <x v="1"/>
    <s v="Situations Contoured Folding Chairs, 4/Set"/>
    <n v="283.92"/>
    <n v="5"/>
    <n v="17.745000000000001"/>
    <x v="6"/>
    <x v="0"/>
  </r>
  <r>
    <s v="CA-2017-105809"/>
    <x v="134"/>
    <d v="2017-02-23T00:00:00"/>
    <x v="2"/>
    <s v="HW-14935"/>
    <s v="Helen Wasserman"/>
    <x v="1"/>
    <s v="United States"/>
    <x v="53"/>
    <x v="2"/>
    <x v="1"/>
    <s v="FUR-FU-10004090"/>
    <x v="0"/>
    <x v="3"/>
    <s v="Executive Impressions 14&quot; Contract Wall Clock"/>
    <n v="22.23"/>
    <n v="1"/>
    <n v="7.3358999999999996"/>
    <x v="0"/>
    <x v="11"/>
  </r>
  <r>
    <s v="CA-2017-135783"/>
    <x v="135"/>
    <d v="2017-04-24T00:00:00"/>
    <x v="2"/>
    <s v="GM-14440"/>
    <s v="Gary McGarr"/>
    <x v="0"/>
    <s v="United States"/>
    <x v="28"/>
    <x v="2"/>
    <x v="1"/>
    <s v="FUR-FU-10000794"/>
    <x v="0"/>
    <x v="3"/>
    <s v="Eldon Stackable Tray, Side-Load, Legal, Smoke"/>
    <n v="18.28"/>
    <n v="2"/>
    <n v="6.2152000000000003"/>
    <x v="3"/>
    <x v="6"/>
  </r>
  <r>
    <s v="CA-2015-140921"/>
    <x v="136"/>
    <d v="2015-02-05T00:00:00"/>
    <x v="2"/>
    <s v="AA-10375"/>
    <s v="Allen Armold"/>
    <x v="0"/>
    <s v="United States"/>
    <x v="70"/>
    <x v="27"/>
    <x v="3"/>
    <s v="FUR-FU-10003347"/>
    <x v="0"/>
    <x v="3"/>
    <s v="Coloredge Poster Frame"/>
    <n v="28.4"/>
    <n v="2"/>
    <n v="11.076000000000001"/>
    <x v="3"/>
    <x v="11"/>
  </r>
  <r>
    <s v="CA-2014-151995"/>
    <x v="137"/>
    <d v="2014-10-15T00:00:00"/>
    <x v="2"/>
    <s v="ZC-21910"/>
    <s v="Zuschuss Carroll"/>
    <x v="0"/>
    <s v="United States"/>
    <x v="71"/>
    <x v="13"/>
    <x v="1"/>
    <s v="FUR-TA-10002903"/>
    <x v="0"/>
    <x v="2"/>
    <s v="Bevis Round Bullnose 29&quot; High Table Top"/>
    <n v="1298.55"/>
    <n v="5"/>
    <n v="311.65199999999999"/>
    <x v="3"/>
    <x v="1"/>
  </r>
  <r>
    <s v="CA-2017-143686"/>
    <x v="138"/>
    <d v="2017-05-14T00:00:00"/>
    <x v="3"/>
    <s v="PJ-19015"/>
    <s v="Pauline Johnson"/>
    <x v="0"/>
    <s v="United States"/>
    <x v="72"/>
    <x v="2"/>
    <x v="1"/>
    <s v="FUR-FU-10000794"/>
    <x v="0"/>
    <x v="3"/>
    <s v="Eldon Stackable Tray, Side-Load, Legal, Smoke"/>
    <n v="18.28"/>
    <n v="2"/>
    <n v="6.2152000000000003"/>
    <x v="7"/>
    <x v="7"/>
  </r>
  <r>
    <s v="CA-2014-140858"/>
    <x v="139"/>
    <d v="2014-07-02T00:00:00"/>
    <x v="1"/>
    <s v="CA-12775"/>
    <s v="Cynthia Arntzen"/>
    <x v="0"/>
    <s v="United States"/>
    <x v="3"/>
    <x v="3"/>
    <x v="2"/>
    <s v="FUR-CH-10001394"/>
    <x v="0"/>
    <x v="1"/>
    <s v="Global Leather Executive Chair"/>
    <n v="1228.4649999999999"/>
    <n v="5"/>
    <n v="0"/>
    <x v="4"/>
    <x v="2"/>
  </r>
  <r>
    <s v="CA-2017-129462"/>
    <x v="140"/>
    <d v="2017-06-21T00:00:00"/>
    <x v="0"/>
    <s v="JE-15745"/>
    <s v="Joel Eaton"/>
    <x v="0"/>
    <s v="United States"/>
    <x v="73"/>
    <x v="0"/>
    <x v="0"/>
    <s v="FUR-CH-10000665"/>
    <x v="0"/>
    <x v="1"/>
    <s v="Global Airflow Leather Mesh Back Chair, Black"/>
    <n v="301.95999999999998"/>
    <n v="2"/>
    <n v="90.587999999999994"/>
    <x v="2"/>
    <x v="2"/>
  </r>
  <r>
    <s v="CA-2015-100454"/>
    <x v="141"/>
    <d v="2015-11-25T00:00:00"/>
    <x v="1"/>
    <s v="BM-11650"/>
    <s v="Brian Moss"/>
    <x v="1"/>
    <s v="United States"/>
    <x v="13"/>
    <x v="7"/>
    <x v="2"/>
    <s v="FUR-BO-10001519"/>
    <x v="0"/>
    <x v="0"/>
    <s v="O'Sullivan 3-Shelf Heavy-Duty Bookcases"/>
    <n v="186.048"/>
    <n v="4"/>
    <n v="9.3024000000000004"/>
    <x v="2"/>
    <x v="0"/>
  </r>
  <r>
    <s v="CA-2015-114300"/>
    <x v="142"/>
    <d v="2015-10-17T00:00:00"/>
    <x v="1"/>
    <s v="AF-10885"/>
    <s v="Art Foster"/>
    <x v="0"/>
    <s v="United States"/>
    <x v="74"/>
    <x v="0"/>
    <x v="0"/>
    <s v="FUR-CH-10001891"/>
    <x v="0"/>
    <x v="1"/>
    <s v="Global Deluxe Office Fabric Chairs"/>
    <n v="287.94"/>
    <n v="3"/>
    <n v="77.743799999999993"/>
    <x v="4"/>
    <x v="1"/>
  </r>
  <r>
    <s v="CA-2017-107503"/>
    <x v="143"/>
    <d v="2017-01-06T00:00:00"/>
    <x v="1"/>
    <s v="GA-14725"/>
    <s v="Guy Armstrong"/>
    <x v="0"/>
    <s v="United States"/>
    <x v="75"/>
    <x v="15"/>
    <x v="2"/>
    <s v="FUR-FU-10003878"/>
    <x v="0"/>
    <x v="3"/>
    <s v="Linden 10&quot; Round Wall Clock, Black"/>
    <n v="48.896000000000001"/>
    <n v="4"/>
    <n v="8.5568000000000008"/>
    <x v="2"/>
    <x v="8"/>
  </r>
  <r>
    <s v="CA-2016-123274"/>
    <x v="144"/>
    <d v="2016-02-24T00:00:00"/>
    <x v="1"/>
    <s v="GT-14710"/>
    <s v="Greg Tran"/>
    <x v="0"/>
    <s v="United States"/>
    <x v="13"/>
    <x v="7"/>
    <x v="2"/>
    <s v="FUR-FU-10004090"/>
    <x v="0"/>
    <x v="3"/>
    <s v="Executive Impressions 14&quot; Contract Wall Clock"/>
    <n v="44.46"/>
    <n v="2"/>
    <n v="14.671799999999999"/>
    <x v="2"/>
    <x v="11"/>
  </r>
  <r>
    <s v="CA-2014-149020"/>
    <x v="145"/>
    <d v="2014-01-15T00:00:00"/>
    <x v="1"/>
    <s v="AJ-10780"/>
    <s v="Anthony Jacobs"/>
    <x v="1"/>
    <s v="United States"/>
    <x v="76"/>
    <x v="25"/>
    <x v="0"/>
    <s v="FUR-FU-10000965"/>
    <x v="0"/>
    <x v="3"/>
    <s v="Howard Miller 11-1/2&quot; Diameter Ridgewood Wall Clock"/>
    <n v="51.94"/>
    <n v="1"/>
    <n v="21.295400000000001"/>
    <x v="2"/>
    <x v="8"/>
  </r>
  <r>
    <s v="CA-2016-116736"/>
    <x v="146"/>
    <d v="2016-01-21T00:00:00"/>
    <x v="1"/>
    <s v="CC-12430"/>
    <s v="Chuck Clark"/>
    <x v="2"/>
    <s v="United States"/>
    <x v="41"/>
    <x v="28"/>
    <x v="2"/>
    <s v="FUR-FU-10004017"/>
    <x v="0"/>
    <x v="3"/>
    <s v="Tenex Contemporary Contur Chairmats for Low and Medium Pile Carpet, Computer, 39&quot; x 49&quot;"/>
    <n v="322.58999999999997"/>
    <n v="3"/>
    <n v="64.518000000000001"/>
    <x v="4"/>
    <x v="8"/>
  </r>
  <r>
    <s v="CA-2017-111689"/>
    <x v="147"/>
    <d v="2017-12-02T00:00:00"/>
    <x v="0"/>
    <s v="HP-14815"/>
    <s v="Harold Pawlan"/>
    <x v="2"/>
    <s v="United States"/>
    <x v="13"/>
    <x v="7"/>
    <x v="2"/>
    <s v="FUR-CH-10004287"/>
    <x v="0"/>
    <x v="1"/>
    <s v="SAFCO Arco Folding Chair"/>
    <n v="1242.9000000000001"/>
    <n v="5"/>
    <n v="262.39"/>
    <x v="3"/>
    <x v="0"/>
  </r>
  <r>
    <s v="CA-2016-165148"/>
    <x v="148"/>
    <d v="2016-10-24T00:00:00"/>
    <x v="2"/>
    <s v="PM-19135"/>
    <s v="Peter McVee"/>
    <x v="2"/>
    <s v="United States"/>
    <x v="25"/>
    <x v="17"/>
    <x v="3"/>
    <s v="FUR-FU-10000732"/>
    <x v="0"/>
    <x v="3"/>
    <s v="Eldon 200 Class Desk Accessories"/>
    <n v="31.4"/>
    <n v="5"/>
    <n v="10.048"/>
    <x v="3"/>
    <x v="1"/>
  </r>
  <r>
    <s v="CA-2014-134061"/>
    <x v="149"/>
    <d v="2014-05-04T00:00:00"/>
    <x v="1"/>
    <s v="LL-16840"/>
    <s v="Lauren Leatherbury"/>
    <x v="0"/>
    <s v="United States"/>
    <x v="77"/>
    <x v="7"/>
    <x v="2"/>
    <s v="FUR-FU-10001424"/>
    <x v="0"/>
    <x v="3"/>
    <s v="Dax Clear Box Frame"/>
    <n v="17.46"/>
    <n v="2"/>
    <n v="5.9363999999999999"/>
    <x v="2"/>
    <x v="6"/>
  </r>
  <r>
    <s v="CA-2017-143259"/>
    <x v="150"/>
    <d v="2018-01-03T00:00:00"/>
    <x v="1"/>
    <s v="PO-18865"/>
    <s v="Patrick O'Donnell"/>
    <x v="0"/>
    <s v="United States"/>
    <x v="13"/>
    <x v="7"/>
    <x v="2"/>
    <s v="FUR-BO-10003441"/>
    <x v="0"/>
    <x v="0"/>
    <s v="Bush Westfield Collection Bookcases, Fully Assembled"/>
    <n v="323.13600000000002"/>
    <n v="4"/>
    <n v="12.117599999999999"/>
    <x v="4"/>
    <x v="5"/>
  </r>
  <r>
    <s v="CA-2015-133627"/>
    <x v="151"/>
    <d v="2015-06-07T00:00:00"/>
    <x v="1"/>
    <s v="SC-20050"/>
    <s v="Sample Company A"/>
    <x v="2"/>
    <s v="United States"/>
    <x v="78"/>
    <x v="19"/>
    <x v="2"/>
    <s v="FUR-FU-10001935"/>
    <x v="0"/>
    <x v="3"/>
    <s v="3M Hangers With Command Adhesive"/>
    <n v="22.2"/>
    <n v="6"/>
    <n v="9.1020000000000003"/>
    <x v="1"/>
    <x v="7"/>
  </r>
  <r>
    <s v="CA-2017-102519"/>
    <x v="152"/>
    <d v="2017-11-29T00:00:00"/>
    <x v="2"/>
    <s v="BM-11650"/>
    <s v="Brian Moss"/>
    <x v="1"/>
    <s v="United States"/>
    <x v="79"/>
    <x v="16"/>
    <x v="3"/>
    <s v="FUR-FU-10004091"/>
    <x v="0"/>
    <x v="3"/>
    <s v="Howard Miller 13&quot; Diameter Goldtone Round Wall Clock"/>
    <n v="46.94"/>
    <n v="1"/>
    <n v="19.2454"/>
    <x v="3"/>
    <x v="0"/>
  </r>
  <r>
    <s v="US-2014-141215"/>
    <x v="153"/>
    <d v="2014-06-21T00:00:00"/>
    <x v="1"/>
    <s v="KL-16555"/>
    <s v="Kelly Lampkin"/>
    <x v="1"/>
    <s v="United States"/>
    <x v="21"/>
    <x v="5"/>
    <x v="3"/>
    <s v="FUR-TA-10001520"/>
    <x v="0"/>
    <x v="2"/>
    <s v="Lesro Sheffield Collection Coffee Table, End Table, Center Table, Corner Table"/>
    <n v="99.918000000000006"/>
    <n v="2"/>
    <n v="-18.5562"/>
    <x v="6"/>
    <x v="2"/>
  </r>
  <r>
    <s v="US-2014-141215"/>
    <x v="153"/>
    <d v="2014-06-21T00:00:00"/>
    <x v="1"/>
    <s v="KL-16555"/>
    <s v="Kelly Lampkin"/>
    <x v="1"/>
    <s v="United States"/>
    <x v="21"/>
    <x v="5"/>
    <x v="3"/>
    <s v="FUR-CH-10003379"/>
    <x v="0"/>
    <x v="1"/>
    <s v="Global Commerce Series High-Back Swivel/Tilt Chairs"/>
    <n v="797.94399999999996"/>
    <n v="4"/>
    <n v="-56.996000000000002"/>
    <x v="6"/>
    <x v="2"/>
  </r>
  <r>
    <s v="CA-2016-142958"/>
    <x v="154"/>
    <d v="2016-12-20T00:00:00"/>
    <x v="1"/>
    <s v="RW-19630"/>
    <s v="Rob Williams"/>
    <x v="1"/>
    <s v="United States"/>
    <x v="80"/>
    <x v="2"/>
    <x v="1"/>
    <s v="FUR-TA-10000577"/>
    <x v="0"/>
    <x v="2"/>
    <s v="Bretford CR4500 Series Slim Rectangular Table"/>
    <n v="1114.2719999999999"/>
    <n v="4"/>
    <n v="41.785200000000003"/>
    <x v="1"/>
    <x v="5"/>
  </r>
  <r>
    <s v="US-2015-140200"/>
    <x v="155"/>
    <d v="2015-07-28T00:00:00"/>
    <x v="2"/>
    <s v="CA-12775"/>
    <s v="Cynthia Arntzen"/>
    <x v="0"/>
    <s v="United States"/>
    <x v="81"/>
    <x v="22"/>
    <x v="1"/>
    <s v="FUR-TA-10002356"/>
    <x v="0"/>
    <x v="2"/>
    <s v="Bevis Boat-Shaped Conference Table"/>
    <n v="393.16500000000002"/>
    <n v="3"/>
    <n v="-204.44579999999999"/>
    <x v="3"/>
    <x v="3"/>
  </r>
  <r>
    <s v="US-2017-110576"/>
    <x v="156"/>
    <d v="2017-12-02T00:00:00"/>
    <x v="1"/>
    <s v="RB-19795"/>
    <s v="Ross Baird"/>
    <x v="2"/>
    <s v="United States"/>
    <x v="3"/>
    <x v="3"/>
    <x v="2"/>
    <s v="FUR-FU-10003601"/>
    <x v="0"/>
    <x v="3"/>
    <s v="Deflect-o RollaMat Studded, Beveled Mat for Medium Pile Carpeting"/>
    <n v="516.48800000000006"/>
    <n v="7"/>
    <n v="-12.9122"/>
    <x v="4"/>
    <x v="0"/>
  </r>
  <r>
    <s v="US-2017-110576"/>
    <x v="156"/>
    <d v="2017-12-02T00:00:00"/>
    <x v="1"/>
    <s v="RB-19795"/>
    <s v="Ross Baird"/>
    <x v="2"/>
    <s v="United States"/>
    <x v="3"/>
    <x v="3"/>
    <x v="2"/>
    <s v="FUR-FU-10000576"/>
    <x v="0"/>
    <x v="3"/>
    <s v="Luxo Professional Fluorescent Magnifier Lamp with Clamp-Mount Base"/>
    <n v="1007.232"/>
    <n v="6"/>
    <n v="75.542400000000001"/>
    <x v="4"/>
    <x v="0"/>
  </r>
  <r>
    <s v="US-2017-110576"/>
    <x v="156"/>
    <d v="2017-12-02T00:00:00"/>
    <x v="1"/>
    <s v="RB-19795"/>
    <s v="Ross Baird"/>
    <x v="2"/>
    <s v="United States"/>
    <x v="3"/>
    <x v="3"/>
    <x v="2"/>
    <s v="FUR-TA-10004154"/>
    <x v="0"/>
    <x v="2"/>
    <s v="Riverside Furniture Oval Coffee Table, Oval End Table, End Table with Drawer"/>
    <n v="2065.3200000000002"/>
    <n v="12"/>
    <n v="-619.596"/>
    <x v="4"/>
    <x v="0"/>
  </r>
  <r>
    <s v="CA-2017-131156"/>
    <x v="157"/>
    <d v="2017-04-07T00:00:00"/>
    <x v="1"/>
    <s v="KH-16360"/>
    <s v="Katherine Hughes"/>
    <x v="0"/>
    <s v="United States"/>
    <x v="3"/>
    <x v="3"/>
    <x v="2"/>
    <s v="FUR-FU-10001940"/>
    <x v="0"/>
    <x v="3"/>
    <s v="Staple-based wall hangings"/>
    <n v="25.472000000000001"/>
    <n v="4"/>
    <n v="7.6416000000000004"/>
    <x v="4"/>
    <x v="6"/>
  </r>
  <r>
    <s v="CA-2017-136539"/>
    <x v="158"/>
    <d v="2018-01-01T00:00:00"/>
    <x v="1"/>
    <s v="GH-14665"/>
    <s v="Greg Hansen"/>
    <x v="0"/>
    <s v="United States"/>
    <x v="82"/>
    <x v="5"/>
    <x v="3"/>
    <s v="FUR-BO-10004709"/>
    <x v="0"/>
    <x v="0"/>
    <s v="Bush Westfield Collection Bookcases, Medium Cherry Finish"/>
    <n v="78.852800000000002"/>
    <n v="2"/>
    <n v="-11.596"/>
    <x v="4"/>
    <x v="5"/>
  </r>
  <r>
    <s v="CA-2015-112571"/>
    <x v="159"/>
    <d v="2015-09-22T00:00:00"/>
    <x v="3"/>
    <s v="DL-12925"/>
    <s v="Daniel Lacy"/>
    <x v="0"/>
    <s v="United States"/>
    <x v="64"/>
    <x v="2"/>
    <x v="1"/>
    <s v="FUR-FU-10004188"/>
    <x v="0"/>
    <x v="3"/>
    <s v="Luxo Professional Combination Clamp-On Lamps"/>
    <n v="204.6"/>
    <n v="2"/>
    <n v="53.195999999999998"/>
    <x v="7"/>
    <x v="4"/>
  </r>
  <r>
    <s v="CA-2017-152142"/>
    <x v="160"/>
    <d v="2017-11-19T00:00:00"/>
    <x v="1"/>
    <s v="LW-16990"/>
    <s v="Lindsay Williams"/>
    <x v="1"/>
    <s v="United States"/>
    <x v="28"/>
    <x v="2"/>
    <x v="1"/>
    <s v="FUR-CH-10002965"/>
    <x v="0"/>
    <x v="1"/>
    <s v="Global Leather Highback Executive Chair with Pneumatic Height Adjustment, Black"/>
    <n v="321.56799999999998"/>
    <n v="2"/>
    <n v="28.1372"/>
    <x v="2"/>
    <x v="0"/>
  </r>
  <r>
    <s v="CA-2014-115791"/>
    <x v="161"/>
    <d v="2014-01-18T00:00:00"/>
    <x v="0"/>
    <s v="DL-13315"/>
    <s v="Delfina Latchford"/>
    <x v="0"/>
    <s v="United States"/>
    <x v="3"/>
    <x v="3"/>
    <x v="2"/>
    <s v="FUR-FU-10001095"/>
    <x v="0"/>
    <x v="3"/>
    <s v="DAX Black Cherry Wood-Tone Poster Frame"/>
    <n v="127.104"/>
    <n v="6"/>
    <n v="28.598400000000002"/>
    <x v="3"/>
    <x v="8"/>
  </r>
  <r>
    <s v="CA-2016-144939"/>
    <x v="162"/>
    <d v="2016-10-08T00:00:00"/>
    <x v="1"/>
    <s v="EB-13870"/>
    <s v="Emily Burns"/>
    <x v="0"/>
    <s v="United States"/>
    <x v="13"/>
    <x v="7"/>
    <x v="2"/>
    <s v="FUR-CH-10003199"/>
    <x v="0"/>
    <x v="1"/>
    <s v="Office Star - Contemporary Task Swivel Chair"/>
    <n v="599.29200000000003"/>
    <n v="6"/>
    <n v="93.223200000000006"/>
    <x v="2"/>
    <x v="1"/>
  </r>
  <r>
    <s v="CA-2014-163419"/>
    <x v="163"/>
    <d v="2014-11-14T00:00:00"/>
    <x v="0"/>
    <s v="TZ-21580"/>
    <s v="Tracy Zic"/>
    <x v="0"/>
    <s v="United States"/>
    <x v="74"/>
    <x v="12"/>
    <x v="1"/>
    <s v="FUR-CH-10000665"/>
    <x v="0"/>
    <x v="1"/>
    <s v="Global Airflow Leather Mesh Back Chair, Black"/>
    <n v="603.91999999999996"/>
    <n v="5"/>
    <n v="75.489999999999995"/>
    <x v="0"/>
    <x v="0"/>
  </r>
  <r>
    <s v="CA-2017-167899"/>
    <x v="164"/>
    <d v="2017-05-26T00:00:00"/>
    <x v="1"/>
    <s v="JG-15805"/>
    <s v="John Grady"/>
    <x v="1"/>
    <s v="United States"/>
    <x v="83"/>
    <x v="7"/>
    <x v="2"/>
    <s v="FUR-FU-10004071"/>
    <x v="0"/>
    <x v="3"/>
    <s v="Luxo Professional Magnifying Clamp-On Fluorescent Lamps"/>
    <n v="520.04999999999995"/>
    <n v="5"/>
    <n v="72.807000000000002"/>
    <x v="2"/>
    <x v="7"/>
  </r>
  <r>
    <s v="CA-2015-153549"/>
    <x v="165"/>
    <d v="2015-03-31T00:00:00"/>
    <x v="0"/>
    <s v="SL-20155"/>
    <s v="Sara Luxemburg"/>
    <x v="2"/>
    <s v="United States"/>
    <x v="51"/>
    <x v="1"/>
    <x v="0"/>
    <s v="FUR-CH-10004086"/>
    <x v="0"/>
    <x v="1"/>
    <s v="Hon 4070 Series Pagoda Armless Upholstered Stacking Chairs"/>
    <n v="1166.92"/>
    <n v="5"/>
    <n v="131.27850000000001"/>
    <x v="3"/>
    <x v="9"/>
  </r>
  <r>
    <s v="CA-2015-162537"/>
    <x v="166"/>
    <d v="2015-11-03T00:00:00"/>
    <x v="1"/>
    <s v="RD-19585"/>
    <s v="Rob Dowd"/>
    <x v="0"/>
    <s v="United States"/>
    <x v="0"/>
    <x v="0"/>
    <x v="0"/>
    <s v="FUR-FU-10002885"/>
    <x v="0"/>
    <x v="3"/>
    <s v="Magna Visual Magnetic Picture Hangers"/>
    <n v="24.1"/>
    <n v="5"/>
    <n v="9.1579999999999995"/>
    <x v="6"/>
    <x v="1"/>
  </r>
  <r>
    <s v="CA-2015-162537"/>
    <x v="166"/>
    <d v="2015-11-03T00:00:00"/>
    <x v="1"/>
    <s v="RD-19585"/>
    <s v="Rob Dowd"/>
    <x v="0"/>
    <s v="United States"/>
    <x v="0"/>
    <x v="0"/>
    <x v="0"/>
    <s v="FUR-FU-10001918"/>
    <x v="0"/>
    <x v="3"/>
    <s v="C-Line Cubicle Keepers Polyproplyene Holder With Velcro Backings"/>
    <n v="33.11"/>
    <n v="7"/>
    <n v="12.9129"/>
    <x v="6"/>
    <x v="1"/>
  </r>
  <r>
    <s v="CA-2015-124891"/>
    <x v="167"/>
    <d v="2015-07-31T00:00:00"/>
    <x v="3"/>
    <s v="RH-19495"/>
    <s v="Rick Hansen"/>
    <x v="0"/>
    <s v="United States"/>
    <x v="13"/>
    <x v="7"/>
    <x v="2"/>
    <s v="FUR-TA-10002903"/>
    <x v="0"/>
    <x v="2"/>
    <s v="Bevis Round Bullnose 29&quot; High Table Top"/>
    <n v="1090.7819999999999"/>
    <n v="7"/>
    <n v="-290.87520000000001"/>
    <x v="7"/>
    <x v="3"/>
  </r>
  <r>
    <s v="CA-2014-158540"/>
    <x v="168"/>
    <d v="2014-11-26T00:00:00"/>
    <x v="2"/>
    <s v="VG-21790"/>
    <s v="Vivek Gonzalez"/>
    <x v="0"/>
    <s v="United States"/>
    <x v="53"/>
    <x v="2"/>
    <x v="1"/>
    <s v="FUR-FU-10001602"/>
    <x v="0"/>
    <x v="3"/>
    <s v="Eldon Delta Triangular Chair Mat, 52&quot; x 58&quot;, Clear"/>
    <n v="151.72"/>
    <n v="4"/>
    <n v="27.3096"/>
    <x v="3"/>
    <x v="0"/>
  </r>
  <r>
    <s v="CA-2017-118437"/>
    <x v="169"/>
    <d v="2017-06-21T00:00:00"/>
    <x v="0"/>
    <s v="PF-19165"/>
    <s v="Philip Fox"/>
    <x v="0"/>
    <s v="United States"/>
    <x v="84"/>
    <x v="13"/>
    <x v="1"/>
    <s v="FUR-FU-10004848"/>
    <x v="0"/>
    <x v="3"/>
    <s v="Howard Miller 13-3/4&quot; Diameter Brushed Chrome Round Wall Clock"/>
    <n v="155.25"/>
    <n v="3"/>
    <n v="46.575000000000003"/>
    <x v="4"/>
    <x v="2"/>
  </r>
  <r>
    <s v="US-2015-126214"/>
    <x v="170"/>
    <d v="2015-12-24T00:00:00"/>
    <x v="0"/>
    <s v="JS-15880"/>
    <s v="John Stevenson"/>
    <x v="0"/>
    <s v="United States"/>
    <x v="15"/>
    <x v="13"/>
    <x v="1"/>
    <s v="FUR-TA-10003748"/>
    <x v="0"/>
    <x v="2"/>
    <s v="Bevis 36 x 72 Conference Tables"/>
    <n v="1618.37"/>
    <n v="13"/>
    <n v="356.04140000000001"/>
    <x v="0"/>
    <x v="5"/>
  </r>
  <r>
    <s v="CA-2015-108665"/>
    <x v="171"/>
    <d v="2015-07-10T00:00:00"/>
    <x v="1"/>
    <s v="KM-16225"/>
    <s v="Kalyca Meade"/>
    <x v="1"/>
    <s v="United States"/>
    <x v="13"/>
    <x v="7"/>
    <x v="2"/>
    <s v="FUR-FU-10002191"/>
    <x v="0"/>
    <x v="3"/>
    <s v="G.E. Halogen Desk Lamp Bulbs"/>
    <n v="13.96"/>
    <n v="2"/>
    <n v="6.7008000000000001"/>
    <x v="4"/>
    <x v="3"/>
  </r>
  <r>
    <s v="CA-2015-108665"/>
    <x v="171"/>
    <d v="2015-07-10T00:00:00"/>
    <x v="1"/>
    <s v="KM-16225"/>
    <s v="Kalyca Meade"/>
    <x v="1"/>
    <s v="United States"/>
    <x v="13"/>
    <x v="7"/>
    <x v="2"/>
    <s v="FUR-FU-10000965"/>
    <x v="0"/>
    <x v="3"/>
    <s v="Howard Miller 11-1/2&quot; Diameter Ridgewood Wall Clock"/>
    <n v="155.82"/>
    <n v="3"/>
    <n v="63.886200000000002"/>
    <x v="4"/>
    <x v="3"/>
  </r>
  <r>
    <s v="CA-2015-124450"/>
    <x v="172"/>
    <d v="2015-05-03T00:00:00"/>
    <x v="1"/>
    <s v="GT-14710"/>
    <s v="Greg Tran"/>
    <x v="0"/>
    <s v="United States"/>
    <x v="85"/>
    <x v="29"/>
    <x v="2"/>
    <s v="FUR-CH-10000309"/>
    <x v="0"/>
    <x v="1"/>
    <s v="Global Comet Stacking Arm Chair"/>
    <n v="1267.53"/>
    <n v="3"/>
    <n v="316.88249999999999"/>
    <x v="6"/>
    <x v="6"/>
  </r>
  <r>
    <s v="CA-2014-163552"/>
    <x v="173"/>
    <d v="2014-07-15T00:00:00"/>
    <x v="1"/>
    <s v="LA-16780"/>
    <s v="Laura Armstrong"/>
    <x v="1"/>
    <s v="United States"/>
    <x v="33"/>
    <x v="18"/>
    <x v="2"/>
    <s v="FUR-CH-10003379"/>
    <x v="0"/>
    <x v="1"/>
    <s v="Global Commerce Series High-Back Swivel/Tilt Chairs"/>
    <n v="854.94"/>
    <n v="3"/>
    <n v="213.73500000000001"/>
    <x v="4"/>
    <x v="3"/>
  </r>
  <r>
    <s v="CA-2014-163552"/>
    <x v="173"/>
    <d v="2014-07-15T00:00:00"/>
    <x v="1"/>
    <s v="LA-16780"/>
    <s v="Laura Armstrong"/>
    <x v="1"/>
    <s v="United States"/>
    <x v="33"/>
    <x v="18"/>
    <x v="2"/>
    <s v="FUR-FU-10000629"/>
    <x v="0"/>
    <x v="3"/>
    <s v="9-3/4 Diameter Round Wall Clock"/>
    <n v="124.11"/>
    <n v="9"/>
    <n v="52.126199999999997"/>
    <x v="4"/>
    <x v="3"/>
  </r>
  <r>
    <s v="CA-2016-113061"/>
    <x v="74"/>
    <d v="2016-04-26T00:00:00"/>
    <x v="1"/>
    <s v="EL-13735"/>
    <s v="Ed Ludwig"/>
    <x v="2"/>
    <s v="United States"/>
    <x v="86"/>
    <x v="23"/>
    <x v="3"/>
    <s v="FUR-FU-10003975"/>
    <x v="0"/>
    <x v="3"/>
    <s v="Eldon Advantage Chair Mats for Low to Medium Pile Carpets"/>
    <n v="86.62"/>
    <n v="2"/>
    <n v="8.6620000000000008"/>
    <x v="4"/>
    <x v="6"/>
  </r>
  <r>
    <s v="CA-2016-127670"/>
    <x v="174"/>
    <d v="2016-03-24T00:00:00"/>
    <x v="1"/>
    <s v="RD-19660"/>
    <s v="Robert Dilbeck"/>
    <x v="2"/>
    <s v="United States"/>
    <x v="87"/>
    <x v="23"/>
    <x v="3"/>
    <s v="FUR-TA-10001095"/>
    <x v="0"/>
    <x v="2"/>
    <s v="Chromcraft Round Conference Tables"/>
    <n v="697.16"/>
    <n v="4"/>
    <n v="146.40360000000001"/>
    <x v="4"/>
    <x v="9"/>
  </r>
  <r>
    <s v="CA-2016-102981"/>
    <x v="175"/>
    <d v="2016-09-09T00:00:00"/>
    <x v="0"/>
    <s v="MO-17500"/>
    <s v="Mary O'Rourke"/>
    <x v="0"/>
    <s v="United States"/>
    <x v="13"/>
    <x v="7"/>
    <x v="2"/>
    <s v="FUR-BO-10001811"/>
    <x v="0"/>
    <x v="0"/>
    <s v="Atlantic Metals Mobile 5-Shelf Bookcases, Custom Colors"/>
    <n v="722.35199999999998"/>
    <n v="3"/>
    <n v="90.293999999999997"/>
    <x v="0"/>
    <x v="4"/>
  </r>
  <r>
    <s v="CA-2017-152702"/>
    <x v="176"/>
    <d v="2017-10-16T00:00:00"/>
    <x v="1"/>
    <s v="SN-20710"/>
    <s v="Steve Nguyen"/>
    <x v="2"/>
    <s v="United States"/>
    <x v="88"/>
    <x v="8"/>
    <x v="3"/>
    <s v="FUR-CH-10002304"/>
    <x v="0"/>
    <x v="1"/>
    <s v="Global Stack Chair without Arms, Black"/>
    <n v="254.60400000000001"/>
    <n v="14"/>
    <n v="-18.186"/>
    <x v="4"/>
    <x v="1"/>
  </r>
  <r>
    <s v="CA-2016-169103"/>
    <x v="177"/>
    <d v="2016-03-13T00:00:00"/>
    <x v="1"/>
    <s v="ZC-21910"/>
    <s v="Zuschuss Carroll"/>
    <x v="0"/>
    <s v="United States"/>
    <x v="89"/>
    <x v="1"/>
    <x v="0"/>
    <s v="FUR-FU-10004006"/>
    <x v="0"/>
    <x v="3"/>
    <s v="Deflect-o DuraMat Lighweight, Studded, Beveled Mat for Low Pile Carpeting"/>
    <n v="102.36"/>
    <n v="3"/>
    <n v="-3.8384999999999998"/>
    <x v="2"/>
    <x v="9"/>
  </r>
  <r>
    <s v="US-2015-153500"/>
    <x v="97"/>
    <d v="2015-07-05T00:00:00"/>
    <x v="2"/>
    <s v="DG-13300"/>
    <s v="Deirdre Greer"/>
    <x v="1"/>
    <s v="United States"/>
    <x v="3"/>
    <x v="3"/>
    <x v="2"/>
    <s v="FUR-FU-10000293"/>
    <x v="0"/>
    <x v="3"/>
    <s v="Eldon Antistatic Chair Mats for Low to Medium Pile Carpets"/>
    <n v="168.464"/>
    <n v="2"/>
    <n v="-29.481200000000001"/>
    <x v="3"/>
    <x v="3"/>
  </r>
  <r>
    <s v="US-2015-153500"/>
    <x v="97"/>
    <d v="2015-07-05T00:00:00"/>
    <x v="2"/>
    <s v="DG-13300"/>
    <s v="Deirdre Greer"/>
    <x v="1"/>
    <s v="United States"/>
    <x v="3"/>
    <x v="3"/>
    <x v="2"/>
    <s v="FUR-FU-10004460"/>
    <x v="0"/>
    <x v="3"/>
    <s v="Howard Miller 12&quot; Round Wall Clock"/>
    <n v="282.88799999999998"/>
    <n v="9"/>
    <n v="56.577599999999997"/>
    <x v="3"/>
    <x v="3"/>
  </r>
  <r>
    <s v="CA-2015-110667"/>
    <x v="178"/>
    <d v="2015-04-08T00:00:00"/>
    <x v="1"/>
    <s v="NF-18595"/>
    <s v="Nicole Fjeld"/>
    <x v="2"/>
    <s v="United States"/>
    <x v="13"/>
    <x v="7"/>
    <x v="2"/>
    <s v="FUR-FU-10004622"/>
    <x v="0"/>
    <x v="3"/>
    <s v="Eldon Advantage Foldable Chair Mats for Low Pile Carpets"/>
    <n v="108.4"/>
    <n v="2"/>
    <n v="22.763999999999999"/>
    <x v="4"/>
    <x v="6"/>
  </r>
  <r>
    <s v="US-2015-125374"/>
    <x v="179"/>
    <d v="2015-03-29T00:00:00"/>
    <x v="1"/>
    <s v="JD-16060"/>
    <s v="Julia Dunbar"/>
    <x v="0"/>
    <s v="United States"/>
    <x v="6"/>
    <x v="5"/>
    <x v="3"/>
    <s v="FUR-CH-10003396"/>
    <x v="0"/>
    <x v="1"/>
    <s v="Global Deluxe Steno Chair"/>
    <n v="107.77200000000001"/>
    <n v="2"/>
    <n v="-29.252400000000002"/>
    <x v="6"/>
    <x v="9"/>
  </r>
  <r>
    <s v="CA-2016-157686"/>
    <x v="180"/>
    <d v="2016-10-02T00:00:00"/>
    <x v="2"/>
    <s v="BD-11620"/>
    <s v="Brian DeCherney"/>
    <x v="0"/>
    <s v="United States"/>
    <x v="28"/>
    <x v="2"/>
    <x v="1"/>
    <s v="FUR-CH-10001146"/>
    <x v="0"/>
    <x v="1"/>
    <s v="Global Value Mid-Back Manager's Chair, Gray"/>
    <n v="194.84800000000001"/>
    <n v="4"/>
    <n v="12.178000000000001"/>
    <x v="5"/>
    <x v="1"/>
  </r>
  <r>
    <s v="CA-2015-110016"/>
    <x v="101"/>
    <d v="2015-12-04T00:00:00"/>
    <x v="1"/>
    <s v="BT-11395"/>
    <s v="Bill Tyler"/>
    <x v="1"/>
    <s v="United States"/>
    <x v="25"/>
    <x v="17"/>
    <x v="3"/>
    <s v="FUR-CH-10002880"/>
    <x v="0"/>
    <x v="1"/>
    <s v="Global High-Back Leather Tilter, Burgundy"/>
    <n v="1106.9100000000001"/>
    <n v="9"/>
    <n v="121.76009999999999"/>
    <x v="2"/>
    <x v="0"/>
  </r>
  <r>
    <s v="US-2016-143819"/>
    <x v="181"/>
    <d v="2016-03-05T00:00:00"/>
    <x v="1"/>
    <s v="KD-16270"/>
    <s v="Karen Daniels"/>
    <x v="0"/>
    <s v="United States"/>
    <x v="90"/>
    <x v="7"/>
    <x v="2"/>
    <s v="FUR-TA-10001095"/>
    <x v="0"/>
    <x v="2"/>
    <s v="Chromcraft Round Conference Tables"/>
    <n v="836.59199999999998"/>
    <n v="8"/>
    <n v="-264.92079999999999"/>
    <x v="4"/>
    <x v="9"/>
  </r>
  <r>
    <s v="CA-2017-158407"/>
    <x v="182"/>
    <d v="2017-06-10T00:00:00"/>
    <x v="1"/>
    <s v="LW-16990"/>
    <s v="Lindsay Williams"/>
    <x v="1"/>
    <s v="United States"/>
    <x v="91"/>
    <x v="30"/>
    <x v="0"/>
    <s v="FUR-FU-10001967"/>
    <x v="0"/>
    <x v="3"/>
    <s v="Telescoping Adjustable Floor Lamp"/>
    <n v="31.984000000000002"/>
    <n v="2"/>
    <n v="1.9990000000000001"/>
    <x v="6"/>
    <x v="2"/>
  </r>
  <r>
    <s v="CA-2014-159338"/>
    <x v="183"/>
    <d v="2014-06-28T00:00:00"/>
    <x v="2"/>
    <s v="NS-18640"/>
    <s v="Noel Staavos"/>
    <x v="1"/>
    <s v="United States"/>
    <x v="2"/>
    <x v="2"/>
    <x v="1"/>
    <s v="FUR-TA-10004147"/>
    <x v="0"/>
    <x v="2"/>
    <s v="Hon 4060 Series Tables"/>
    <n v="447.84"/>
    <n v="5"/>
    <n v="11.196"/>
    <x v="0"/>
    <x v="2"/>
  </r>
  <r>
    <s v="CA-2016-107216"/>
    <x v="184"/>
    <d v="2016-06-17T00:00:00"/>
    <x v="2"/>
    <s v="PV-18985"/>
    <s v="Paul Van Hugh"/>
    <x v="2"/>
    <s v="United States"/>
    <x v="28"/>
    <x v="2"/>
    <x v="1"/>
    <s v="FUR-FU-10000206"/>
    <x v="0"/>
    <x v="3"/>
    <s v="GE General Purpose, Extra Long Life, Showcase &amp; Floodlight Incandescent Bulbs"/>
    <n v="8.73"/>
    <n v="3"/>
    <n v="4.1031000000000004"/>
    <x v="0"/>
    <x v="2"/>
  </r>
  <r>
    <s v="US-2016-110156"/>
    <x v="185"/>
    <d v="2016-11-24T00:00:00"/>
    <x v="1"/>
    <s v="EH-13945"/>
    <s v="Eric Hoffmann"/>
    <x v="0"/>
    <s v="United States"/>
    <x v="6"/>
    <x v="5"/>
    <x v="3"/>
    <s v="FUR-FU-10000206"/>
    <x v="0"/>
    <x v="3"/>
    <s v="GE General Purpose, Extra Long Life, Showcase &amp; Floodlight Incandescent Bulbs"/>
    <n v="2.3279999999999998"/>
    <n v="2"/>
    <n v="-0.75660000000000005"/>
    <x v="2"/>
    <x v="0"/>
  </r>
  <r>
    <s v="CA-2017-140585"/>
    <x v="186"/>
    <d v="2017-12-23T00:00:00"/>
    <x v="0"/>
    <s v="RA-19915"/>
    <s v="Russell Applegate"/>
    <x v="0"/>
    <s v="United States"/>
    <x v="92"/>
    <x v="2"/>
    <x v="1"/>
    <s v="FUR-BO-10002206"/>
    <x v="0"/>
    <x v="0"/>
    <s v="Bush Saratoga Collection 5-Shelf Bookcase, Hanover Cherry, *Special Order"/>
    <n v="119.833"/>
    <n v="1"/>
    <n v="-12.6882"/>
    <x v="2"/>
    <x v="5"/>
  </r>
  <r>
    <s v="US-2014-147627"/>
    <x v="187"/>
    <d v="2014-01-26T00:00:00"/>
    <x v="1"/>
    <s v="HL-15040"/>
    <s v="Hunter Lopez"/>
    <x v="0"/>
    <s v="United States"/>
    <x v="93"/>
    <x v="31"/>
    <x v="0"/>
    <s v="FUR-FU-10003194"/>
    <x v="0"/>
    <x v="3"/>
    <s v="Eldon Expressions Desk Accessory, Wood Pencil Holder, Oak"/>
    <n v="38.6"/>
    <n v="4"/>
    <n v="11.58"/>
    <x v="6"/>
    <x v="8"/>
  </r>
  <r>
    <s v="US-2014-147627"/>
    <x v="187"/>
    <d v="2014-01-26T00:00:00"/>
    <x v="1"/>
    <s v="HL-15040"/>
    <s v="Hunter Lopez"/>
    <x v="0"/>
    <s v="United States"/>
    <x v="93"/>
    <x v="31"/>
    <x v="0"/>
    <s v="FUR-CH-10002331"/>
    <x v="0"/>
    <x v="1"/>
    <s v="Hon 4700 Series Mobuis Mid-Back Task Chairs with Adjustable Arms"/>
    <n v="1067.94"/>
    <n v="3"/>
    <n v="224.26740000000001"/>
    <x v="6"/>
    <x v="8"/>
  </r>
  <r>
    <s v="CA-2016-112102"/>
    <x v="188"/>
    <d v="2016-04-16T00:00:00"/>
    <x v="1"/>
    <s v="BD-11605"/>
    <s v="Brian Dahlen"/>
    <x v="0"/>
    <s v="United States"/>
    <x v="76"/>
    <x v="25"/>
    <x v="0"/>
    <s v="FUR-TA-10004086"/>
    <x v="0"/>
    <x v="2"/>
    <s v="KI Adjustable-Height Table"/>
    <n v="343.92"/>
    <n v="4"/>
    <n v="75.662400000000005"/>
    <x v="4"/>
    <x v="6"/>
  </r>
  <r>
    <s v="CA-2014-146969"/>
    <x v="189"/>
    <d v="2014-10-03T00:00:00"/>
    <x v="1"/>
    <s v="AP-10915"/>
    <s v="Arthur Prichep"/>
    <x v="0"/>
    <s v="United States"/>
    <x v="2"/>
    <x v="2"/>
    <x v="1"/>
    <s v="FUR-FU-10004188"/>
    <x v="0"/>
    <x v="3"/>
    <s v="Luxo Professional Combination Clamp-On Lamps"/>
    <n v="204.6"/>
    <n v="2"/>
    <n v="53.195999999999998"/>
    <x v="4"/>
    <x v="4"/>
  </r>
  <r>
    <s v="CA-2015-113971"/>
    <x v="190"/>
    <d v="2015-05-14T00:00:00"/>
    <x v="1"/>
    <s v="CB-12535"/>
    <s v="Claudia Bergmann"/>
    <x v="1"/>
    <s v="United States"/>
    <x v="94"/>
    <x v="15"/>
    <x v="2"/>
    <s v="FUR-FU-10001852"/>
    <x v="0"/>
    <x v="3"/>
    <s v="Eldon Regeneration Recycled Desk Accessories, Smoke"/>
    <n v="8.3520000000000003"/>
    <n v="6"/>
    <n v="1.2527999999999999"/>
    <x v="6"/>
    <x v="7"/>
  </r>
  <r>
    <s v="CA-2014-136567"/>
    <x v="191"/>
    <d v="2014-12-21T00:00:00"/>
    <x v="2"/>
    <s v="PS-19045"/>
    <s v="Penelope Sewall"/>
    <x v="2"/>
    <s v="United States"/>
    <x v="95"/>
    <x v="25"/>
    <x v="0"/>
    <s v="FUR-TA-10001932"/>
    <x v="0"/>
    <x v="2"/>
    <s v="Chromcraft 48&quot; x 96&quot; Racetrack Double Pedestal Table"/>
    <n v="2244.48"/>
    <n v="7"/>
    <n v="493.78559999999999"/>
    <x v="5"/>
    <x v="5"/>
  </r>
  <r>
    <s v="CA-2014-136567"/>
    <x v="191"/>
    <d v="2014-12-21T00:00:00"/>
    <x v="2"/>
    <s v="PS-19045"/>
    <s v="Penelope Sewall"/>
    <x v="2"/>
    <s v="United States"/>
    <x v="95"/>
    <x v="25"/>
    <x v="0"/>
    <s v="FUR-TA-10000617"/>
    <x v="0"/>
    <x v="2"/>
    <s v="Hon Practical Foundations 30 x 60 Training Table, Light Gray/Charcoal"/>
    <n v="455.1"/>
    <n v="2"/>
    <n v="100.122"/>
    <x v="5"/>
    <x v="5"/>
  </r>
  <r>
    <s v="CA-2016-149314"/>
    <x v="192"/>
    <d v="2016-07-07T00:00:00"/>
    <x v="0"/>
    <s v="GB-14530"/>
    <s v="George Bell"/>
    <x v="1"/>
    <s v="United States"/>
    <x v="2"/>
    <x v="2"/>
    <x v="1"/>
    <s v="FUR-CH-10002126"/>
    <x v="0"/>
    <x v="1"/>
    <s v="Hon Deluxe Fabric Upholstered Stacking Chairs"/>
    <n v="195.184"/>
    <n v="1"/>
    <n v="19.5184"/>
    <x v="2"/>
    <x v="3"/>
  </r>
  <r>
    <s v="CA-2017-145226"/>
    <x v="64"/>
    <d v="2017-12-10T00:00:00"/>
    <x v="0"/>
    <s v="DL-13315"/>
    <s v="Delfina Latchford"/>
    <x v="0"/>
    <s v="United States"/>
    <x v="13"/>
    <x v="7"/>
    <x v="2"/>
    <s v="FUR-FU-10004952"/>
    <x v="0"/>
    <x v="3"/>
    <s v="C-Line Cubicle Keepers Polyproplyene Holder w/Velcro Back, 8-1/2x11, 25/Bx"/>
    <n v="109.48"/>
    <n v="2"/>
    <n v="33.938800000000001"/>
    <x v="3"/>
    <x v="5"/>
  </r>
  <r>
    <s v="CA-2016-113621"/>
    <x v="193"/>
    <d v="2016-12-05T00:00:00"/>
    <x v="1"/>
    <s v="JE-15745"/>
    <s v="Joel Eaton"/>
    <x v="0"/>
    <s v="United States"/>
    <x v="96"/>
    <x v="32"/>
    <x v="2"/>
    <s v="FUR-CH-10001270"/>
    <x v="0"/>
    <x v="1"/>
    <s v="Harbour Creations Steel Folding Chair"/>
    <n v="172.5"/>
    <n v="2"/>
    <n v="51.75"/>
    <x v="4"/>
    <x v="5"/>
  </r>
  <r>
    <s v="CA-2017-117212"/>
    <x v="194"/>
    <d v="2017-02-28T00:00:00"/>
    <x v="0"/>
    <s v="BT-11530"/>
    <s v="Bradley Talbott"/>
    <x v="2"/>
    <s v="United States"/>
    <x v="2"/>
    <x v="2"/>
    <x v="1"/>
    <s v="FUR-CH-10003973"/>
    <x v="0"/>
    <x v="1"/>
    <s v="GuestStacker Chair with Chrome Finish Legs"/>
    <n v="892.22400000000005"/>
    <n v="3"/>
    <n v="89.222399999999993"/>
    <x v="3"/>
    <x v="11"/>
  </r>
  <r>
    <s v="US-2015-130519"/>
    <x v="195"/>
    <d v="2015-09-15T00:00:00"/>
    <x v="3"/>
    <s v="NG-18355"/>
    <s v="Nat Gilpin"/>
    <x v="1"/>
    <s v="United States"/>
    <x v="97"/>
    <x v="1"/>
    <x v="0"/>
    <s v="FUR-FU-10002268"/>
    <x v="0"/>
    <x v="3"/>
    <s v="Ultra Door Push Plate"/>
    <n v="15.712"/>
    <n v="4"/>
    <n v="2.5531999999999999"/>
    <x v="7"/>
    <x v="4"/>
  </r>
  <r>
    <s v="US-2015-130519"/>
    <x v="195"/>
    <d v="2015-09-15T00:00:00"/>
    <x v="3"/>
    <s v="NG-18355"/>
    <s v="Nat Gilpin"/>
    <x v="1"/>
    <s v="United States"/>
    <x v="97"/>
    <x v="1"/>
    <x v="0"/>
    <s v="FUR-FU-10003394"/>
    <x v="0"/>
    <x v="3"/>
    <s v="Tenex &quot;The Solids&quot; Textured Chair Mats"/>
    <n v="55.968000000000004"/>
    <n v="1"/>
    <n v="-2.0988000000000002"/>
    <x v="7"/>
    <x v="4"/>
  </r>
  <r>
    <s v="CA-2016-130946"/>
    <x v="57"/>
    <d v="2016-04-12T00:00:00"/>
    <x v="1"/>
    <s v="ZC-21910"/>
    <s v="Zuschuss Carroll"/>
    <x v="0"/>
    <s v="United States"/>
    <x v="6"/>
    <x v="5"/>
    <x v="3"/>
    <s v="FUR-CH-10004540"/>
    <x v="0"/>
    <x v="1"/>
    <s v="Global Chrome Stack Chair"/>
    <n v="95.983999999999995"/>
    <n v="4"/>
    <n v="-4.1135999999999999"/>
    <x v="4"/>
    <x v="6"/>
  </r>
  <r>
    <s v="CA-2016-114727"/>
    <x v="196"/>
    <d v="2016-07-24T00:00:00"/>
    <x v="1"/>
    <s v="LS-16945"/>
    <s v="Linda Southworth"/>
    <x v="1"/>
    <s v="United States"/>
    <x v="22"/>
    <x v="12"/>
    <x v="1"/>
    <s v="FUR-CH-10002335"/>
    <x v="0"/>
    <x v="1"/>
    <s v="Hon GuestStacker Chair"/>
    <n v="544.00800000000004"/>
    <n v="3"/>
    <n v="40.800600000000003"/>
    <x v="6"/>
    <x v="3"/>
  </r>
  <r>
    <s v="CA-2016-114727"/>
    <x v="196"/>
    <d v="2016-07-24T00:00:00"/>
    <x v="1"/>
    <s v="LS-16945"/>
    <s v="Linda Southworth"/>
    <x v="1"/>
    <s v="United States"/>
    <x v="22"/>
    <x v="12"/>
    <x v="1"/>
    <s v="FUR-CH-10002331"/>
    <x v="0"/>
    <x v="1"/>
    <s v="Hon 4700 Series Mobuis Mid-Back Task Chairs with Adjustable Arms"/>
    <n v="854.35199999999998"/>
    <n v="3"/>
    <n v="10.679399999999999"/>
    <x v="6"/>
    <x v="3"/>
  </r>
  <r>
    <s v="CA-2016-137050"/>
    <x v="197"/>
    <d v="2016-07-18T00:00:00"/>
    <x v="0"/>
    <s v="SW-20755"/>
    <s v="Steven Ward"/>
    <x v="1"/>
    <s v="United States"/>
    <x v="13"/>
    <x v="7"/>
    <x v="2"/>
    <s v="FUR-BO-10004695"/>
    <x v="0"/>
    <x v="0"/>
    <s v="O'Sullivan 2-Door Barrister Bookcase in Odessa Pine"/>
    <n v="579.13599999999997"/>
    <n v="4"/>
    <n v="21.717600000000001"/>
    <x v="4"/>
    <x v="3"/>
  </r>
  <r>
    <s v="US-2017-118087"/>
    <x v="198"/>
    <d v="2017-09-13T00:00:00"/>
    <x v="1"/>
    <s v="SP-20620"/>
    <s v="Stefania Perrino"/>
    <x v="1"/>
    <s v="United States"/>
    <x v="3"/>
    <x v="3"/>
    <x v="2"/>
    <s v="FUR-CH-10004860"/>
    <x v="0"/>
    <x v="1"/>
    <s v="Global Low Back Tilter Chair"/>
    <n v="141.37200000000001"/>
    <n v="2"/>
    <n v="-48.470399999999998"/>
    <x v="4"/>
    <x v="4"/>
  </r>
  <r>
    <s v="US-2017-118087"/>
    <x v="198"/>
    <d v="2017-09-13T00:00:00"/>
    <x v="1"/>
    <s v="SP-20620"/>
    <s v="Stefania Perrino"/>
    <x v="1"/>
    <s v="United States"/>
    <x v="3"/>
    <x v="3"/>
    <x v="2"/>
    <s v="FUR-FU-10001867"/>
    <x v="0"/>
    <x v="3"/>
    <s v="Eldon Expressions Punched Metal &amp; Wood Desk Accessories, Pewter &amp; Cherry"/>
    <n v="17.024000000000001"/>
    <n v="2"/>
    <n v="1.7023999999999999"/>
    <x v="4"/>
    <x v="4"/>
  </r>
  <r>
    <s v="CA-2016-126004"/>
    <x v="199"/>
    <d v="2016-12-05T00:00:00"/>
    <x v="2"/>
    <s v="BM-11140"/>
    <s v="Becky Martin"/>
    <x v="0"/>
    <s v="United States"/>
    <x v="13"/>
    <x v="7"/>
    <x v="2"/>
    <s v="FUR-FU-10001602"/>
    <x v="0"/>
    <x v="3"/>
    <s v="Eldon Delta Triangular Chair Mat, 52&quot; x 58&quot;, Clear"/>
    <n v="113.79"/>
    <n v="3"/>
    <n v="20.482199999999999"/>
    <x v="5"/>
    <x v="5"/>
  </r>
  <r>
    <s v="CA-2017-100013"/>
    <x v="200"/>
    <d v="2017-11-11T00:00:00"/>
    <x v="1"/>
    <s v="ZC-21910"/>
    <s v="Zuschuss Carroll"/>
    <x v="0"/>
    <s v="United States"/>
    <x v="2"/>
    <x v="2"/>
    <x v="1"/>
    <s v="FUR-FU-10001424"/>
    <x v="0"/>
    <x v="3"/>
    <s v="Dax Clear Box Frame"/>
    <n v="8.73"/>
    <n v="1"/>
    <n v="2.9681999999999999"/>
    <x v="2"/>
    <x v="0"/>
  </r>
  <r>
    <s v="CA-2016-144344"/>
    <x v="48"/>
    <d v="2016-10-28T00:00:00"/>
    <x v="3"/>
    <s v="PG-18820"/>
    <s v="Patrick Gardner"/>
    <x v="0"/>
    <s v="United States"/>
    <x v="98"/>
    <x v="1"/>
    <x v="0"/>
    <s v="FUR-FU-10000076"/>
    <x v="0"/>
    <x v="3"/>
    <s v="24-Hour Round Wall Clock"/>
    <n v="47.951999999999998"/>
    <n v="3"/>
    <n v="13.786199999999999"/>
    <x v="7"/>
    <x v="1"/>
  </r>
  <r>
    <s v="CA-2016-144344"/>
    <x v="48"/>
    <d v="2016-10-28T00:00:00"/>
    <x v="3"/>
    <s v="PG-18820"/>
    <s v="Patrick Gardner"/>
    <x v="0"/>
    <s v="United States"/>
    <x v="98"/>
    <x v="1"/>
    <x v="0"/>
    <s v="FUR-FU-10003268"/>
    <x v="0"/>
    <x v="3"/>
    <s v="Eldon Radial Chair Mat for Low to Medium Pile Carpets"/>
    <n v="63.968000000000004"/>
    <n v="2"/>
    <n v="0"/>
    <x v="7"/>
    <x v="1"/>
  </r>
  <r>
    <s v="CA-2016-144344"/>
    <x v="48"/>
    <d v="2016-10-28T00:00:00"/>
    <x v="3"/>
    <s v="PG-18820"/>
    <s v="Patrick Gardner"/>
    <x v="0"/>
    <s v="United States"/>
    <x v="98"/>
    <x v="1"/>
    <x v="0"/>
    <s v="FUR-FU-10003553"/>
    <x v="0"/>
    <x v="3"/>
    <s v="Howard Miller 13-1/2&quot; Diameter Rosebrook Wall Clock"/>
    <n v="165.048"/>
    <n v="3"/>
    <n v="41.262"/>
    <x v="7"/>
    <x v="1"/>
  </r>
  <r>
    <s v="CA-2014-127012"/>
    <x v="201"/>
    <d v="2014-08-15T00:00:00"/>
    <x v="1"/>
    <s v="GM-14680"/>
    <s v="Greg Matthias"/>
    <x v="0"/>
    <s v="United States"/>
    <x v="15"/>
    <x v="13"/>
    <x v="1"/>
    <s v="FUR-FU-10003691"/>
    <x v="0"/>
    <x v="3"/>
    <s v="Eldon Image Series Desk Accessories, Ebony"/>
    <n v="12.35"/>
    <n v="1"/>
    <n v="5.4340000000000002"/>
    <x v="4"/>
    <x v="10"/>
  </r>
  <r>
    <s v="CA-2014-168494"/>
    <x v="202"/>
    <d v="2014-12-14T00:00:00"/>
    <x v="0"/>
    <s v="NP-18700"/>
    <s v="Nora Preis"/>
    <x v="0"/>
    <s v="United States"/>
    <x v="99"/>
    <x v="2"/>
    <x v="1"/>
    <s v="FUR-TA-10004619"/>
    <x v="0"/>
    <x v="2"/>
    <s v="Hon Non-Folding Utility Tables"/>
    <n v="764.68799999999999"/>
    <n v="6"/>
    <n v="95.585999999999999"/>
    <x v="3"/>
    <x v="5"/>
  </r>
  <r>
    <s v="CA-2014-168494"/>
    <x v="202"/>
    <d v="2014-12-14T00:00:00"/>
    <x v="0"/>
    <s v="NP-18700"/>
    <s v="Nora Preis"/>
    <x v="0"/>
    <s v="United States"/>
    <x v="99"/>
    <x v="2"/>
    <x v="1"/>
    <s v="FUR-TA-10003473"/>
    <x v="0"/>
    <x v="2"/>
    <s v="Bretford Rectangular Conference Table Tops"/>
    <n v="3610.848"/>
    <n v="12"/>
    <n v="135.4068"/>
    <x v="3"/>
    <x v="5"/>
  </r>
  <r>
    <s v="CA-2014-168494"/>
    <x v="202"/>
    <d v="2014-12-14T00:00:00"/>
    <x v="0"/>
    <s v="NP-18700"/>
    <s v="Nora Preis"/>
    <x v="0"/>
    <s v="United States"/>
    <x v="99"/>
    <x v="2"/>
    <x v="1"/>
    <s v="FUR-BO-10004467"/>
    <x v="0"/>
    <x v="0"/>
    <s v="Bestar Classic Bookcase"/>
    <n v="254.97450000000001"/>
    <n v="3"/>
    <n v="11.998799999999999"/>
    <x v="3"/>
    <x v="5"/>
  </r>
  <r>
    <s v="CA-2017-115602"/>
    <x v="186"/>
    <d v="2017-12-24T00:00:00"/>
    <x v="1"/>
    <s v="DJ-13630"/>
    <s v="Doug Jacobs"/>
    <x v="0"/>
    <s v="United States"/>
    <x v="13"/>
    <x v="7"/>
    <x v="2"/>
    <s v="FUR-CH-10001708"/>
    <x v="0"/>
    <x v="1"/>
    <s v="Office Star - Contemporary Swivel Chair with Padded Adjustable Arms and Flex Back"/>
    <n v="1141.9380000000001"/>
    <n v="9"/>
    <n v="139.5702"/>
    <x v="6"/>
    <x v="5"/>
  </r>
  <r>
    <s v="CA-2017-144638"/>
    <x v="203"/>
    <d v="2017-03-14T00:00:00"/>
    <x v="1"/>
    <s v="MH-18115"/>
    <s v="Mick Hernandez"/>
    <x v="2"/>
    <s v="United States"/>
    <x v="100"/>
    <x v="3"/>
    <x v="2"/>
    <s v="FUR-FU-10003724"/>
    <x v="0"/>
    <x v="3"/>
    <s v="Westinghouse Clip-On Gooseneck Lamps"/>
    <n v="6.6959999999999997"/>
    <n v="1"/>
    <n v="0.50219999999999998"/>
    <x v="4"/>
    <x v="9"/>
  </r>
  <r>
    <s v="CA-2017-144638"/>
    <x v="203"/>
    <d v="2017-03-14T00:00:00"/>
    <x v="1"/>
    <s v="MH-18115"/>
    <s v="Mick Hernandez"/>
    <x v="2"/>
    <s v="United States"/>
    <x v="100"/>
    <x v="3"/>
    <x v="2"/>
    <s v="FUR-FU-10003535"/>
    <x v="0"/>
    <x v="3"/>
    <s v="Howard Miller Distant Time Traveler Alarm Clock"/>
    <n v="43.872"/>
    <n v="2"/>
    <n v="11.516400000000001"/>
    <x v="4"/>
    <x v="9"/>
  </r>
  <r>
    <s v="CA-2016-155992"/>
    <x v="180"/>
    <d v="2016-10-02T00:00:00"/>
    <x v="2"/>
    <s v="CC-12220"/>
    <s v="Chris Cortes"/>
    <x v="0"/>
    <s v="United States"/>
    <x v="101"/>
    <x v="6"/>
    <x v="3"/>
    <s v="FUR-FU-10003724"/>
    <x v="0"/>
    <x v="3"/>
    <s v="Westinghouse Clip-On Gooseneck Lamps"/>
    <n v="41.85"/>
    <n v="5"/>
    <n v="10.881"/>
    <x v="5"/>
    <x v="1"/>
  </r>
  <r>
    <s v="US-2014-167738"/>
    <x v="109"/>
    <d v="2014-12-29T00:00:00"/>
    <x v="1"/>
    <s v="JC-16105"/>
    <s v="Julie Creighton"/>
    <x v="1"/>
    <s v="United States"/>
    <x v="2"/>
    <x v="2"/>
    <x v="1"/>
    <s v="FUR-CH-10001146"/>
    <x v="0"/>
    <x v="1"/>
    <s v="Global Value Mid-Back Manager's Chair, Gray"/>
    <n v="292.27199999999999"/>
    <n v="6"/>
    <n v="18.266999999999999"/>
    <x v="2"/>
    <x v="5"/>
  </r>
  <r>
    <s v="CA-2017-121412"/>
    <x v="204"/>
    <d v="2017-09-27T00:00:00"/>
    <x v="1"/>
    <s v="BG-11695"/>
    <s v="Brooke Gillingham"/>
    <x v="1"/>
    <s v="United States"/>
    <x v="74"/>
    <x v="12"/>
    <x v="1"/>
    <s v="FUR-FU-10000246"/>
    <x v="0"/>
    <x v="3"/>
    <s v="Aluminum Document Frame"/>
    <n v="29.327999999999999"/>
    <n v="3"/>
    <n v="3.6659999999999999"/>
    <x v="4"/>
    <x v="4"/>
  </r>
  <r>
    <s v="CA-2016-119186"/>
    <x v="205"/>
    <d v="2016-05-26T00:00:00"/>
    <x v="3"/>
    <s v="MS-17710"/>
    <s v="Maurice Satty"/>
    <x v="0"/>
    <s v="United States"/>
    <x v="50"/>
    <x v="5"/>
    <x v="3"/>
    <s v="FUR-CH-10001973"/>
    <x v="0"/>
    <x v="1"/>
    <s v="Office Star Flex Back Scooter Chair with White Frame"/>
    <n v="388.43"/>
    <n v="5"/>
    <n v="-88.784000000000006"/>
    <x v="7"/>
    <x v="7"/>
  </r>
  <r>
    <s v="CA-2016-154711"/>
    <x v="206"/>
    <d v="2016-11-26T00:00:00"/>
    <x v="1"/>
    <s v="TB-21355"/>
    <s v="Todd Boyes"/>
    <x v="1"/>
    <s v="United States"/>
    <x v="13"/>
    <x v="7"/>
    <x v="2"/>
    <s v="FUR-FU-10000397"/>
    <x v="0"/>
    <x v="3"/>
    <s v="Luxo Economy Swing Arm Lamp"/>
    <n v="39.880000000000003"/>
    <n v="2"/>
    <n v="11.166399999999999"/>
    <x v="4"/>
    <x v="0"/>
  </r>
  <r>
    <s v="CA-2016-137043"/>
    <x v="207"/>
    <d v="2016-12-25T00:00:00"/>
    <x v="0"/>
    <s v="LC-17140"/>
    <s v="Logan Currie"/>
    <x v="0"/>
    <s v="United States"/>
    <x v="76"/>
    <x v="25"/>
    <x v="0"/>
    <s v="FUR-FU-10003664"/>
    <x v="0"/>
    <x v="3"/>
    <s v="Electrix Architect's Clamp-On Swing Arm Lamp, Black"/>
    <n v="572.76"/>
    <n v="6"/>
    <n v="166.10040000000001"/>
    <x v="3"/>
    <x v="5"/>
  </r>
  <r>
    <s v="CA-2016-137043"/>
    <x v="207"/>
    <d v="2016-12-25T00:00:00"/>
    <x v="0"/>
    <s v="LC-17140"/>
    <s v="Logan Currie"/>
    <x v="0"/>
    <s v="United States"/>
    <x v="76"/>
    <x v="25"/>
    <x v="0"/>
    <s v="FUR-FU-10003664"/>
    <x v="0"/>
    <x v="3"/>
    <s v="Electrix Architect's Clamp-On Swing Arm Lamp, Black"/>
    <n v="286.38"/>
    <n v="3"/>
    <n v="83.050200000000004"/>
    <x v="3"/>
    <x v="5"/>
  </r>
  <r>
    <s v="CA-2015-115847"/>
    <x v="208"/>
    <d v="2015-09-24T00:00:00"/>
    <x v="0"/>
    <s v="TC-21535"/>
    <s v="Tracy Collins"/>
    <x v="2"/>
    <s v="United States"/>
    <x v="58"/>
    <x v="25"/>
    <x v="0"/>
    <s v="FUR-BO-10003433"/>
    <x v="0"/>
    <x v="0"/>
    <s v="Sauder Cornerstone Collection Library"/>
    <n v="61.96"/>
    <n v="2"/>
    <n v="4.3372000000000002"/>
    <x v="2"/>
    <x v="4"/>
  </r>
  <r>
    <s v="US-2017-126179"/>
    <x v="209"/>
    <d v="2017-07-07T00:00:00"/>
    <x v="1"/>
    <s v="CS-12460"/>
    <s v="Chuck Sachs"/>
    <x v="0"/>
    <s v="United States"/>
    <x v="29"/>
    <x v="24"/>
    <x v="0"/>
    <s v="FUR-FU-10002554"/>
    <x v="0"/>
    <x v="3"/>
    <s v="Westinghouse Floor Lamp with Metal Mesh Shade, Black"/>
    <n v="23.99"/>
    <n v="1"/>
    <n v="5.5176999999999996"/>
    <x v="4"/>
    <x v="3"/>
  </r>
  <r>
    <s v="CA-2016-141397"/>
    <x v="210"/>
    <d v="2016-06-21T00:00:00"/>
    <x v="2"/>
    <s v="RC-19825"/>
    <s v="Roy Collins"/>
    <x v="0"/>
    <s v="United States"/>
    <x v="102"/>
    <x v="2"/>
    <x v="1"/>
    <s v="FUR-CH-10003846"/>
    <x v="0"/>
    <x v="1"/>
    <s v="Hon Valutask Swivel Chairs"/>
    <n v="161.56800000000001"/>
    <n v="2"/>
    <n v="-8.0784000000000002"/>
    <x v="5"/>
    <x v="2"/>
  </r>
  <r>
    <s v="US-2016-134488"/>
    <x v="211"/>
    <d v="2016-10-01T00:00:00"/>
    <x v="1"/>
    <s v="PK-19075"/>
    <s v="Pete Kriz"/>
    <x v="0"/>
    <s v="United States"/>
    <x v="29"/>
    <x v="15"/>
    <x v="2"/>
    <s v="FUR-CH-10003199"/>
    <x v="0"/>
    <x v="1"/>
    <s v="Office Star - Contemporary Task Swivel Chair"/>
    <n v="155.37200000000001"/>
    <n v="2"/>
    <n v="-13.317600000000001"/>
    <x v="1"/>
    <x v="4"/>
  </r>
  <r>
    <s v="CA-2016-145919"/>
    <x v="105"/>
    <d v="2016-12-23T00:00:00"/>
    <x v="1"/>
    <s v="HG-14965"/>
    <s v="Henry Goldwyn"/>
    <x v="1"/>
    <s v="United States"/>
    <x v="2"/>
    <x v="2"/>
    <x v="1"/>
    <s v="FUR-FU-10004960"/>
    <x v="0"/>
    <x v="3"/>
    <s v="Seth Thomas 12&quot; Clock w/ Goldtone Case"/>
    <n v="183.84"/>
    <n v="8"/>
    <n v="62.505600000000001"/>
    <x v="2"/>
    <x v="5"/>
  </r>
  <r>
    <s v="CA-2015-120439"/>
    <x v="212"/>
    <d v="2015-06-18T00:00:00"/>
    <x v="1"/>
    <s v="AD-10180"/>
    <s v="Alan Dominguez"/>
    <x v="2"/>
    <s v="United States"/>
    <x v="3"/>
    <x v="3"/>
    <x v="2"/>
    <s v="FUR-FU-10001867"/>
    <x v="0"/>
    <x v="3"/>
    <s v="Eldon Expressions Punched Metal &amp; Wood Desk Accessories, Pewter &amp; Cherry"/>
    <n v="51.072000000000003"/>
    <n v="6"/>
    <n v="5.1071999999999997"/>
    <x v="4"/>
    <x v="2"/>
  </r>
  <r>
    <s v="CA-2016-142762"/>
    <x v="213"/>
    <d v="2016-05-27T00:00:00"/>
    <x v="1"/>
    <s v="LD-17005"/>
    <s v="Lisa DeCherney"/>
    <x v="0"/>
    <s v="United States"/>
    <x v="28"/>
    <x v="2"/>
    <x v="1"/>
    <s v="FUR-FU-10003691"/>
    <x v="0"/>
    <x v="3"/>
    <s v="Eldon Image Series Desk Accessories, Ebony"/>
    <n v="37.049999999999997"/>
    <n v="3"/>
    <n v="16.302"/>
    <x v="4"/>
    <x v="7"/>
  </r>
  <r>
    <s v="US-2017-123281"/>
    <x v="214"/>
    <d v="2017-04-07T00:00:00"/>
    <x v="1"/>
    <s v="JF-15190"/>
    <s v="Jamie Frazer"/>
    <x v="0"/>
    <s v="United States"/>
    <x v="2"/>
    <x v="2"/>
    <x v="1"/>
    <s v="FUR-FU-10003724"/>
    <x v="0"/>
    <x v="3"/>
    <s v="Westinghouse Clip-On Gooseneck Lamps"/>
    <n v="25.11"/>
    <n v="3"/>
    <n v="6.5286"/>
    <x v="2"/>
    <x v="6"/>
  </r>
  <r>
    <s v="CA-2017-100524"/>
    <x v="76"/>
    <d v="2017-04-02T00:00:00"/>
    <x v="0"/>
    <s v="CM-12115"/>
    <s v="Chad McGuire"/>
    <x v="0"/>
    <s v="United States"/>
    <x v="13"/>
    <x v="7"/>
    <x v="2"/>
    <s v="FUR-FU-10004018"/>
    <x v="0"/>
    <x v="3"/>
    <s v="Tensor Computer Mounted Lamp"/>
    <n v="29.78"/>
    <n v="2"/>
    <n v="8.0405999999999995"/>
    <x v="3"/>
    <x v="9"/>
  </r>
  <r>
    <s v="CA-2014-153976"/>
    <x v="215"/>
    <d v="2014-10-08T00:00:00"/>
    <x v="0"/>
    <s v="BP-11290"/>
    <s v="Beth Paige"/>
    <x v="0"/>
    <s v="United States"/>
    <x v="103"/>
    <x v="8"/>
    <x v="3"/>
    <s v="FUR-CH-10002880"/>
    <x v="0"/>
    <x v="1"/>
    <s v="Global High-Back Leather Tilter, Burgundy"/>
    <n v="258.279"/>
    <n v="3"/>
    <n v="-70.104299999999995"/>
    <x v="2"/>
    <x v="1"/>
  </r>
  <r>
    <s v="CA-2017-162978"/>
    <x v="216"/>
    <d v="2017-05-09T00:00:00"/>
    <x v="1"/>
    <s v="LW-16990"/>
    <s v="Lindsay Williams"/>
    <x v="1"/>
    <s v="United States"/>
    <x v="28"/>
    <x v="2"/>
    <x v="1"/>
    <s v="FUR-TA-10003473"/>
    <x v="0"/>
    <x v="2"/>
    <s v="Bretford Rectangular Conference Table Tops"/>
    <n v="300.904"/>
    <n v="1"/>
    <n v="11.283899999999999"/>
    <x v="2"/>
    <x v="7"/>
  </r>
  <r>
    <s v="CA-2017-160045"/>
    <x v="217"/>
    <d v="2017-04-27T00:00:00"/>
    <x v="2"/>
    <s v="LB-16735"/>
    <s v="Larry Blacks"/>
    <x v="0"/>
    <s v="United States"/>
    <x v="50"/>
    <x v="5"/>
    <x v="3"/>
    <s v="FUR-FU-10000010"/>
    <x v="0"/>
    <x v="3"/>
    <s v="DAX Value U-Channel Document Frames, Easel Back"/>
    <n v="1.988"/>
    <n v="1"/>
    <n v="-1.4413"/>
    <x v="5"/>
    <x v="6"/>
  </r>
  <r>
    <s v="US-2014-151925"/>
    <x v="218"/>
    <d v="2014-10-01T00:00:00"/>
    <x v="0"/>
    <s v="KT-16465"/>
    <s v="Kean Takahito"/>
    <x v="0"/>
    <s v="United States"/>
    <x v="2"/>
    <x v="2"/>
    <x v="1"/>
    <s v="FUR-CH-10002961"/>
    <x v="0"/>
    <x v="1"/>
    <s v="Leather Task Chair, Black"/>
    <n v="145.56800000000001"/>
    <n v="2"/>
    <n v="0"/>
    <x v="2"/>
    <x v="4"/>
  </r>
  <r>
    <s v="US-2017-155425"/>
    <x v="219"/>
    <d v="2017-11-11T00:00:00"/>
    <x v="2"/>
    <s v="AB-10600"/>
    <s v="Ann Blume"/>
    <x v="1"/>
    <s v="United States"/>
    <x v="104"/>
    <x v="22"/>
    <x v="1"/>
    <s v="FUR-CH-10003312"/>
    <x v="0"/>
    <x v="1"/>
    <s v="Hon 2090 ÒPillow SoftÓ Series Mid Back Swivel/Tilt Chairs"/>
    <n v="899.13599999999997"/>
    <n v="4"/>
    <n v="-146.1096"/>
    <x v="5"/>
    <x v="0"/>
  </r>
  <r>
    <s v="CA-2017-133249"/>
    <x v="220"/>
    <d v="2017-07-11T00:00:00"/>
    <x v="2"/>
    <s v="SZ-20035"/>
    <s v="Sam Zeldin"/>
    <x v="2"/>
    <s v="United States"/>
    <x v="105"/>
    <x v="2"/>
    <x v="1"/>
    <s v="FUR-FU-10001588"/>
    <x v="0"/>
    <x v="3"/>
    <s v="Deflect-o SuperTray Unbreakable Stackable Tray, Letter, Black"/>
    <n v="145.9"/>
    <n v="5"/>
    <n v="62.737000000000002"/>
    <x v="0"/>
    <x v="3"/>
  </r>
  <r>
    <s v="US-2015-103471"/>
    <x v="37"/>
    <d v="2015-12-28T00:00:00"/>
    <x v="1"/>
    <s v="JR-15670"/>
    <s v="Jim Radford"/>
    <x v="0"/>
    <s v="United States"/>
    <x v="30"/>
    <x v="12"/>
    <x v="1"/>
    <s v="FUR-BO-10002613"/>
    <x v="0"/>
    <x v="0"/>
    <s v="Atlantic Metals Mobile 4-Shelf Bookcases, Custom Colors"/>
    <n v="590.05799999999999"/>
    <n v="7"/>
    <n v="-786.74400000000003"/>
    <x v="4"/>
    <x v="5"/>
  </r>
  <r>
    <s v="CA-2015-120362"/>
    <x v="221"/>
    <d v="2015-09-19T00:00:00"/>
    <x v="1"/>
    <s v="CA-12265"/>
    <s v="Christina Anderson"/>
    <x v="0"/>
    <s v="United States"/>
    <x v="106"/>
    <x v="4"/>
    <x v="1"/>
    <s v="FUR-TA-10003008"/>
    <x v="0"/>
    <x v="2"/>
    <s v="Lesro Round Back Collection Coffee Table, End Table"/>
    <n v="912.75"/>
    <n v="5"/>
    <n v="118.6575"/>
    <x v="2"/>
    <x v="4"/>
  </r>
  <r>
    <s v="US-2016-100566"/>
    <x v="222"/>
    <d v="2016-09-09T00:00:00"/>
    <x v="1"/>
    <s v="JK-16120"/>
    <s v="Julie Kriz"/>
    <x v="2"/>
    <s v="United States"/>
    <x v="14"/>
    <x v="8"/>
    <x v="3"/>
    <s v="FUR-FU-10003394"/>
    <x v="0"/>
    <x v="3"/>
    <s v="Tenex &quot;The Solids&quot; Textured Chair Mats"/>
    <n v="83.951999999999998"/>
    <n v="3"/>
    <n v="-90.248400000000004"/>
    <x v="6"/>
    <x v="4"/>
  </r>
  <r>
    <s v="US-2016-108504"/>
    <x v="223"/>
    <d v="2016-02-05T00:00:00"/>
    <x v="3"/>
    <s v="PP-18955"/>
    <s v="Paul Prost"/>
    <x v="2"/>
    <s v="United States"/>
    <x v="107"/>
    <x v="24"/>
    <x v="0"/>
    <s v="FUR-FU-10004091"/>
    <x v="0"/>
    <x v="3"/>
    <s v="Eldon 200 Class Desk Accessories, Black"/>
    <n v="18.84"/>
    <n v="3"/>
    <n v="7.1592000000000002"/>
    <x v="7"/>
    <x v="11"/>
  </r>
  <r>
    <s v="US-2016-108504"/>
    <x v="223"/>
    <d v="2016-02-05T00:00:00"/>
    <x v="3"/>
    <s v="PP-18955"/>
    <s v="Paul Prost"/>
    <x v="2"/>
    <s v="United States"/>
    <x v="107"/>
    <x v="24"/>
    <x v="0"/>
    <s v="FUR-BO-10004015"/>
    <x v="0"/>
    <x v="0"/>
    <s v="Bush Andora Bookcase, Maple/Graphite Gray Finish"/>
    <n v="239.98"/>
    <n v="2"/>
    <n v="52.7956"/>
    <x v="7"/>
    <x v="11"/>
  </r>
  <r>
    <s v="US-2017-117247"/>
    <x v="224"/>
    <d v="2017-10-14T00:00:00"/>
    <x v="1"/>
    <s v="CK-12760"/>
    <s v="Cyma Kinney"/>
    <x v="1"/>
    <s v="United States"/>
    <x v="14"/>
    <x v="8"/>
    <x v="3"/>
    <s v="FUR-TA-10002958"/>
    <x v="0"/>
    <x v="2"/>
    <s v="Bevis Oval Conference Table, Walnut"/>
    <n v="652.45000000000005"/>
    <n v="5"/>
    <n v="-430.61700000000002"/>
    <x v="2"/>
    <x v="1"/>
  </r>
  <r>
    <s v="US-2017-117247"/>
    <x v="224"/>
    <d v="2017-10-14T00:00:00"/>
    <x v="1"/>
    <s v="CK-12760"/>
    <s v="Cyma Kinney"/>
    <x v="1"/>
    <s v="United States"/>
    <x v="14"/>
    <x v="8"/>
    <x v="3"/>
    <s v="FUR-TA-10001676"/>
    <x v="0"/>
    <x v="2"/>
    <s v="Hon 61000 Series Interactive Training Tables"/>
    <n v="66.644999999999996"/>
    <n v="3"/>
    <n v="-42.652799999999999"/>
    <x v="2"/>
    <x v="1"/>
  </r>
  <r>
    <s v="US-2016-161396"/>
    <x v="225"/>
    <d v="2016-04-25T00:00:00"/>
    <x v="1"/>
    <s v="GM-14455"/>
    <s v="Gary Mitchum"/>
    <x v="2"/>
    <s v="United States"/>
    <x v="29"/>
    <x v="15"/>
    <x v="2"/>
    <s v="FUR-TA-10002622"/>
    <x v="0"/>
    <x v="2"/>
    <s v="Bush Andora Conference Table, Maple/Graphite Gray Finish"/>
    <n v="205.17599999999999"/>
    <n v="2"/>
    <n v="-58.133200000000002"/>
    <x v="6"/>
    <x v="6"/>
  </r>
  <r>
    <s v="US-2014-118486"/>
    <x v="226"/>
    <d v="2014-04-08T00:00:00"/>
    <x v="2"/>
    <s v="SD-20485"/>
    <s v="Shirley Daniels"/>
    <x v="2"/>
    <s v="United States"/>
    <x v="3"/>
    <x v="3"/>
    <x v="2"/>
    <s v="FUR-TA-10001039"/>
    <x v="0"/>
    <x v="2"/>
    <s v="KI Adjustable-Height Table"/>
    <n v="154.76400000000001"/>
    <n v="3"/>
    <n v="-36.111600000000003"/>
    <x v="3"/>
    <x v="6"/>
  </r>
  <r>
    <s v="CA-2016-130407"/>
    <x v="227"/>
    <d v="2016-09-06T00:00:00"/>
    <x v="1"/>
    <s v="KD-16270"/>
    <s v="Karen Daniels"/>
    <x v="0"/>
    <s v="United States"/>
    <x v="13"/>
    <x v="7"/>
    <x v="2"/>
    <s v="FUR-FU-10001967"/>
    <x v="0"/>
    <x v="3"/>
    <s v="Telescoping Adjustable Floor Lamp"/>
    <n v="39.979999999999997"/>
    <n v="2"/>
    <n v="9.9949999999999992"/>
    <x v="4"/>
    <x v="4"/>
  </r>
  <r>
    <s v="US-2016-122245"/>
    <x v="228"/>
    <d v="2016-09-30T00:00:00"/>
    <x v="1"/>
    <s v="AB-10105"/>
    <s v="Adrian Barton"/>
    <x v="0"/>
    <s v="United States"/>
    <x v="43"/>
    <x v="22"/>
    <x v="1"/>
    <s v="FUR-TA-10002356"/>
    <x v="0"/>
    <x v="2"/>
    <s v="Bevis Boat-Shaped Conference Table"/>
    <n v="393.16500000000002"/>
    <n v="3"/>
    <n v="-204.44579999999999"/>
    <x v="2"/>
    <x v="4"/>
  </r>
  <r>
    <s v="CA-2016-136329"/>
    <x v="229"/>
    <d v="2016-07-13T00:00:00"/>
    <x v="1"/>
    <s v="JD-15895"/>
    <s v="Jonathan Doherty"/>
    <x v="1"/>
    <s v="United States"/>
    <x v="13"/>
    <x v="7"/>
    <x v="2"/>
    <s v="FUR-CH-10002335"/>
    <x v="0"/>
    <x v="1"/>
    <s v="Hon GuestStacker Chair"/>
    <n v="408.00599999999997"/>
    <n v="2"/>
    <n v="72.534400000000005"/>
    <x v="4"/>
    <x v="3"/>
  </r>
  <r>
    <s v="CA-2016-136329"/>
    <x v="229"/>
    <d v="2016-07-13T00:00:00"/>
    <x v="1"/>
    <s v="JD-15895"/>
    <s v="Jonathan Doherty"/>
    <x v="1"/>
    <s v="United States"/>
    <x v="13"/>
    <x v="7"/>
    <x v="2"/>
    <s v="FUR-FU-10000723"/>
    <x v="0"/>
    <x v="3"/>
    <s v="Deflect-o EconoMat Studded, No Bevel Mat for Low Pile Carpeting"/>
    <n v="165.28"/>
    <n v="4"/>
    <n v="14.8752"/>
    <x v="4"/>
    <x v="3"/>
  </r>
  <r>
    <s v="CA-2017-115994"/>
    <x v="230"/>
    <d v="2017-01-31T00:00:00"/>
    <x v="0"/>
    <s v="BT-11305"/>
    <s v="Beth Thompson"/>
    <x v="2"/>
    <s v="United States"/>
    <x v="46"/>
    <x v="2"/>
    <x v="1"/>
    <s v="FUR-FU-10003976"/>
    <x v="0"/>
    <x v="3"/>
    <s v="DAX Executive Solid Wood Document Frame, Desktop or Hang, Mahogany, 5 x 7"/>
    <n v="37.74"/>
    <n v="3"/>
    <n v="12.8316"/>
    <x v="0"/>
    <x v="8"/>
  </r>
  <r>
    <s v="CA-2015-126697"/>
    <x v="231"/>
    <d v="2015-09-24T00:00:00"/>
    <x v="2"/>
    <s v="SV-20815"/>
    <s v="Stuart Van"/>
    <x v="1"/>
    <s v="United States"/>
    <x v="6"/>
    <x v="5"/>
    <x v="3"/>
    <s v="FUR-FU-10001706"/>
    <x v="0"/>
    <x v="3"/>
    <s v="Longer-Life Soft White Bulbs"/>
    <n v="4.9279999999999999"/>
    <n v="4"/>
    <n v="-1.4783999999999999"/>
    <x v="0"/>
    <x v="4"/>
  </r>
  <r>
    <s v="CA-2014-120768"/>
    <x v="232"/>
    <d v="2014-12-21T00:00:00"/>
    <x v="0"/>
    <s v="IM-15070"/>
    <s v="Irene Maddox"/>
    <x v="0"/>
    <s v="United States"/>
    <x v="73"/>
    <x v="33"/>
    <x v="0"/>
    <s v="FUR-CH-10000513"/>
    <x v="0"/>
    <x v="1"/>
    <s v="High-Back Leather Manager's Chair"/>
    <n v="1819.86"/>
    <n v="14"/>
    <n v="163.78739999999999"/>
    <x v="3"/>
    <x v="5"/>
  </r>
  <r>
    <s v="CA-2015-139731"/>
    <x v="233"/>
    <d v="2015-10-15T00:00:00"/>
    <x v="3"/>
    <s v="JE-15745"/>
    <s v="Joel Eaton"/>
    <x v="0"/>
    <s v="United States"/>
    <x v="45"/>
    <x v="5"/>
    <x v="3"/>
    <s v="FUR-CH-10002024"/>
    <x v="0"/>
    <x v="1"/>
    <s v="HON 5400 Series Task Chairs for Big and Tall"/>
    <n v="2453.4299999999998"/>
    <n v="5"/>
    <n v="-350.49"/>
    <x v="7"/>
    <x v="1"/>
  </r>
  <r>
    <s v="CA-2017-102337"/>
    <x v="234"/>
    <d v="2017-06-16T00:00:00"/>
    <x v="2"/>
    <s v="SD-20485"/>
    <s v="Shirley Daniels"/>
    <x v="2"/>
    <s v="United States"/>
    <x v="9"/>
    <x v="8"/>
    <x v="3"/>
    <s v="FUR-CH-10004289"/>
    <x v="0"/>
    <x v="1"/>
    <s v="Global Super Steno Chair"/>
    <n v="470.30200000000002"/>
    <n v="7"/>
    <n v="-87.341800000000006"/>
    <x v="0"/>
    <x v="2"/>
  </r>
  <r>
    <s v="CA-2017-148474"/>
    <x v="235"/>
    <d v="2017-06-19T00:00:00"/>
    <x v="1"/>
    <s v="ME-17320"/>
    <s v="Maria Etezadi"/>
    <x v="2"/>
    <s v="United States"/>
    <x v="29"/>
    <x v="24"/>
    <x v="0"/>
    <s v="FUR-TA-10002530"/>
    <x v="0"/>
    <x v="2"/>
    <s v="Iceberg OfficeWorks 42&quot; Round Tables"/>
    <n v="452.94"/>
    <n v="3"/>
    <n v="67.941000000000003"/>
    <x v="1"/>
    <x v="2"/>
  </r>
  <r>
    <s v="CA-2014-155271"/>
    <x v="236"/>
    <d v="2014-05-04T00:00:00"/>
    <x v="3"/>
    <s v="AA-10480"/>
    <s v="Andrew Allen"/>
    <x v="0"/>
    <s v="United States"/>
    <x v="108"/>
    <x v="19"/>
    <x v="2"/>
    <s v="FUR-FU-10001473"/>
    <x v="0"/>
    <x v="3"/>
    <s v="DAX Wood Document Frame"/>
    <n v="27.46"/>
    <n v="2"/>
    <n v="9.8856000000000002"/>
    <x v="7"/>
    <x v="7"/>
  </r>
  <r>
    <s v="US-2016-128902"/>
    <x v="237"/>
    <d v="2016-03-15T00:00:00"/>
    <x v="1"/>
    <s v="MB-18085"/>
    <s v="Mick Brown"/>
    <x v="0"/>
    <s v="United States"/>
    <x v="109"/>
    <x v="18"/>
    <x v="2"/>
    <s v="FUR-TA-10001095"/>
    <x v="0"/>
    <x v="2"/>
    <s v="Chromcraft Round Conference Tables"/>
    <n v="244.006"/>
    <n v="2"/>
    <n v="-31.372199999999999"/>
    <x v="4"/>
    <x v="9"/>
  </r>
  <r>
    <s v="CA-2016-152289"/>
    <x v="238"/>
    <d v="2016-08-28T00:00:00"/>
    <x v="2"/>
    <s v="LC-16930"/>
    <s v="Linda Cazamias"/>
    <x v="1"/>
    <s v="United States"/>
    <x v="102"/>
    <x v="5"/>
    <x v="3"/>
    <s v="FUR-CH-10002126"/>
    <x v="0"/>
    <x v="1"/>
    <s v="Hon Deluxe Fabric Upholstered Stacking Chairs"/>
    <n v="1024.7159999999999"/>
    <n v="6"/>
    <n v="-29.2776"/>
    <x v="3"/>
    <x v="10"/>
  </r>
  <r>
    <s v="CA-2014-151708"/>
    <x v="98"/>
    <d v="2014-08-14T00:00:00"/>
    <x v="1"/>
    <s v="MB-17305"/>
    <s v="Maria Bertelson"/>
    <x v="0"/>
    <s v="United States"/>
    <x v="110"/>
    <x v="22"/>
    <x v="1"/>
    <s v="FUR-FU-10001602"/>
    <x v="0"/>
    <x v="3"/>
    <s v="Eldon Delta Triangular Chair Mat, 52&quot; x 58&quot;, Clear"/>
    <n v="121.376"/>
    <n v="4"/>
    <n v="-3.0344000000000002"/>
    <x v="6"/>
    <x v="10"/>
  </r>
  <r>
    <s v="CA-2017-139199"/>
    <x v="13"/>
    <d v="2017-12-13T00:00:00"/>
    <x v="1"/>
    <s v="DK-12835"/>
    <s v="Damala Kotsonis"/>
    <x v="1"/>
    <s v="United States"/>
    <x v="25"/>
    <x v="17"/>
    <x v="3"/>
    <s v="FUR-CH-10000847"/>
    <x v="0"/>
    <x v="1"/>
    <s v="Global Executive Mid-Back Manager's Chair"/>
    <n v="872.94"/>
    <n v="3"/>
    <n v="226.96440000000001"/>
    <x v="4"/>
    <x v="5"/>
  </r>
  <r>
    <s v="US-2015-105676"/>
    <x v="239"/>
    <d v="2015-12-02T00:00:00"/>
    <x v="3"/>
    <s v="NM-18520"/>
    <s v="Neoma Murray"/>
    <x v="0"/>
    <s v="United States"/>
    <x v="6"/>
    <x v="5"/>
    <x v="3"/>
    <s v="FUR-FU-10004270"/>
    <x v="0"/>
    <x v="3"/>
    <s v="Eldon Image Series Desk Accessories, Burgundy"/>
    <n v="6.6879999999999997"/>
    <n v="4"/>
    <n v="-4.0128000000000004"/>
    <x v="5"/>
    <x v="5"/>
  </r>
  <r>
    <s v="CA-2015-140410"/>
    <x v="240"/>
    <d v="2015-11-07T00:00:00"/>
    <x v="1"/>
    <s v="CM-12655"/>
    <s v="Corinna Mitchell"/>
    <x v="2"/>
    <s v="United States"/>
    <x v="2"/>
    <x v="2"/>
    <x v="1"/>
    <s v="FUR-FU-10003347"/>
    <x v="0"/>
    <x v="3"/>
    <s v="Coloredge Poster Frame"/>
    <n v="42.6"/>
    <n v="3"/>
    <n v="16.614000000000001"/>
    <x v="4"/>
    <x v="0"/>
  </r>
  <r>
    <s v="CA-2017-166436"/>
    <x v="241"/>
    <d v="2017-11-28T00:00:00"/>
    <x v="1"/>
    <s v="TS-21370"/>
    <s v="Todd Sumrall"/>
    <x v="1"/>
    <s v="United States"/>
    <x v="13"/>
    <x v="7"/>
    <x v="2"/>
    <s v="FUR-CH-10000785"/>
    <x v="0"/>
    <x v="1"/>
    <s v="Global Ergonomic Managers Chair"/>
    <n v="977.29200000000003"/>
    <n v="6"/>
    <n v="173.74080000000001"/>
    <x v="4"/>
    <x v="0"/>
  </r>
  <r>
    <s v="CA-2017-139661"/>
    <x v="242"/>
    <d v="2017-11-03T00:00:00"/>
    <x v="1"/>
    <s v="JW-15220"/>
    <s v="Jane Waco"/>
    <x v="1"/>
    <s v="United States"/>
    <x v="57"/>
    <x v="13"/>
    <x v="1"/>
    <s v="FUR-FU-10002885"/>
    <x v="0"/>
    <x v="3"/>
    <s v="Magna Visual Magnetic Picture Hangers"/>
    <n v="9.64"/>
    <n v="2"/>
    <n v="3.6631999999999998"/>
    <x v="4"/>
    <x v="1"/>
  </r>
  <r>
    <s v="CA-2016-100468"/>
    <x v="243"/>
    <d v="2016-12-01T00:00:00"/>
    <x v="1"/>
    <s v="AT-10435"/>
    <s v="Alyssa Tate"/>
    <x v="2"/>
    <s v="United States"/>
    <x v="2"/>
    <x v="2"/>
    <x v="1"/>
    <s v="FUR-FU-10000010"/>
    <x v="0"/>
    <x v="3"/>
    <s v="DAX Value U-Channel Document Frames, Easel Back"/>
    <n v="9.94"/>
    <n v="2"/>
    <n v="3.0813999999999999"/>
    <x v="1"/>
    <x v="0"/>
  </r>
  <r>
    <s v="CA-2015-153388"/>
    <x v="244"/>
    <d v="2015-08-07T00:00:00"/>
    <x v="1"/>
    <s v="PC-19000"/>
    <s v="Pauline Chand"/>
    <x v="2"/>
    <s v="United States"/>
    <x v="2"/>
    <x v="2"/>
    <x v="1"/>
    <s v="FUR-TA-10003715"/>
    <x v="0"/>
    <x v="2"/>
    <s v="Hon 2111 Invitation Series Corner Table"/>
    <n v="1004.976"/>
    <n v="6"/>
    <n v="-175.8708"/>
    <x v="6"/>
    <x v="10"/>
  </r>
  <r>
    <s v="CA-2017-103611"/>
    <x v="245"/>
    <d v="2017-09-15T00:00:00"/>
    <x v="2"/>
    <s v="JM-15535"/>
    <s v="Jessica Myrick"/>
    <x v="0"/>
    <s v="United States"/>
    <x v="2"/>
    <x v="2"/>
    <x v="1"/>
    <s v="FUR-FU-10004270"/>
    <x v="0"/>
    <x v="3"/>
    <s v="Eldon Image Series Desk Accessories, Burgundy"/>
    <n v="8.36"/>
    <n v="2"/>
    <n v="3.0095999999999998"/>
    <x v="0"/>
    <x v="4"/>
  </r>
  <r>
    <s v="US-2017-160759"/>
    <x v="246"/>
    <d v="2017-12-17T00:00:00"/>
    <x v="1"/>
    <s v="AI-10855"/>
    <s v="Arianne Irving"/>
    <x v="0"/>
    <s v="United States"/>
    <x v="3"/>
    <x v="3"/>
    <x v="2"/>
    <s v="FUR-CH-10002961"/>
    <x v="0"/>
    <x v="1"/>
    <s v="Leather Task Chair, Black"/>
    <n v="63.686"/>
    <n v="1"/>
    <n v="-9.0980000000000008"/>
    <x v="6"/>
    <x v="5"/>
  </r>
  <r>
    <s v="CA-2017-148446"/>
    <x v="247"/>
    <d v="2017-12-14T00:00:00"/>
    <x v="0"/>
    <s v="MC-17845"/>
    <s v="Michael Chen"/>
    <x v="0"/>
    <s v="United States"/>
    <x v="111"/>
    <x v="34"/>
    <x v="1"/>
    <s v="FUR-TA-10004256"/>
    <x v="0"/>
    <x v="2"/>
    <s v="Bretford ÒJust In TimeÓ Height-Adjustable Multi-Task Work Tables"/>
    <n v="1669.6"/>
    <n v="4"/>
    <n v="116.872"/>
    <x v="4"/>
    <x v="5"/>
  </r>
  <r>
    <s v="CA-2015-144806"/>
    <x v="248"/>
    <d v="2015-12-11T00:00:00"/>
    <x v="1"/>
    <s v="GH-14425"/>
    <s v="Gary Hwang"/>
    <x v="0"/>
    <s v="United States"/>
    <x v="104"/>
    <x v="22"/>
    <x v="1"/>
    <s v="FUR-FU-10002253"/>
    <x v="0"/>
    <x v="3"/>
    <s v="Howard Miller 13&quot; Diameter Pewter Finish Round Wall Clock"/>
    <n v="206.11199999999999"/>
    <n v="6"/>
    <n v="48.951599999999999"/>
    <x v="2"/>
    <x v="5"/>
  </r>
  <r>
    <s v="CA-2016-122392"/>
    <x v="249"/>
    <d v="2016-07-27T00:00:00"/>
    <x v="1"/>
    <s v="CJ-12010"/>
    <s v="Caroline Jumper"/>
    <x v="0"/>
    <s v="United States"/>
    <x v="112"/>
    <x v="3"/>
    <x v="2"/>
    <s v="FUR-FU-10002456"/>
    <x v="0"/>
    <x v="3"/>
    <s v="Master Caster Door Stop, Large Neon Orange"/>
    <n v="11.648"/>
    <n v="2"/>
    <n v="3.3488000000000002"/>
    <x v="2"/>
    <x v="3"/>
  </r>
  <r>
    <s v="CA-2017-124086"/>
    <x v="250"/>
    <d v="2017-02-14T00:00:00"/>
    <x v="1"/>
    <s v="MP-18175"/>
    <s v="Mike Pelletier"/>
    <x v="2"/>
    <s v="United States"/>
    <x v="113"/>
    <x v="2"/>
    <x v="1"/>
    <s v="FUR-BO-10004015"/>
    <x v="0"/>
    <x v="0"/>
    <s v="Bush Andora Bookcase, Maple/Graphite Gray Finish"/>
    <n v="203.983"/>
    <n v="2"/>
    <n v="16.7986"/>
    <x v="4"/>
    <x v="11"/>
  </r>
  <r>
    <s v="CA-2017-121888"/>
    <x v="102"/>
    <d v="2017-09-17T00:00:00"/>
    <x v="0"/>
    <s v="CL-11890"/>
    <s v="Carl Ludwig"/>
    <x v="0"/>
    <s v="United States"/>
    <x v="114"/>
    <x v="20"/>
    <x v="2"/>
    <s v="FUR-BO-10002545"/>
    <x v="0"/>
    <x v="0"/>
    <s v="Atlantic Metals Mobile 3-Shelf Bookcases, Custom Colors"/>
    <n v="782.94"/>
    <n v="3"/>
    <n v="203.56440000000001"/>
    <x v="3"/>
    <x v="4"/>
  </r>
  <r>
    <s v="CA-2014-166884"/>
    <x v="251"/>
    <d v="2014-03-16T00:00:00"/>
    <x v="0"/>
    <s v="CK-12205"/>
    <s v="Chloris Kastensmidt"/>
    <x v="0"/>
    <s v="United States"/>
    <x v="29"/>
    <x v="15"/>
    <x v="2"/>
    <s v="FUR-FU-10003981"/>
    <x v="0"/>
    <x v="3"/>
    <s v="Eldon Wave Desk Accessories"/>
    <n v="8.32"/>
    <n v="5"/>
    <n v="2.2879999999999998"/>
    <x v="2"/>
    <x v="9"/>
  </r>
  <r>
    <s v="CA-2014-150245"/>
    <x v="252"/>
    <d v="2015-01-04T00:00:00"/>
    <x v="0"/>
    <s v="PC-18745"/>
    <s v="Pamela Coakley"/>
    <x v="1"/>
    <s v="United States"/>
    <x v="115"/>
    <x v="7"/>
    <x v="2"/>
    <s v="FUR-BO-10002613"/>
    <x v="0"/>
    <x v="0"/>
    <s v="Atlantic Metals Mobile 4-Shelf Bookcases, Custom Colors"/>
    <n v="1573.4880000000001"/>
    <n v="7"/>
    <n v="196.68600000000001"/>
    <x v="4"/>
    <x v="5"/>
  </r>
  <r>
    <s v="CA-2015-112116"/>
    <x v="253"/>
    <d v="2015-03-18T00:00:00"/>
    <x v="0"/>
    <s v="JE-15475"/>
    <s v="Jeremy Ellison"/>
    <x v="0"/>
    <s v="United States"/>
    <x v="15"/>
    <x v="13"/>
    <x v="1"/>
    <s v="FUR-TA-10001039"/>
    <x v="0"/>
    <x v="2"/>
    <s v="KI Adjustable-Height Table"/>
    <n v="171.96"/>
    <n v="2"/>
    <n v="44.709600000000002"/>
    <x v="3"/>
    <x v="9"/>
  </r>
  <r>
    <s v="US-2017-102890"/>
    <x v="254"/>
    <d v="2017-06-30T00:00:00"/>
    <x v="3"/>
    <s v="SG-20470"/>
    <s v="Sheri Gordon"/>
    <x v="0"/>
    <s v="United States"/>
    <x v="13"/>
    <x v="7"/>
    <x v="2"/>
    <s v="FUR-TA-10000577"/>
    <x v="0"/>
    <x v="2"/>
    <s v="Bretford CR4500 Series Slim Rectangular Table"/>
    <n v="1044.6300000000001"/>
    <n v="5"/>
    <n v="-295.9785"/>
    <x v="7"/>
    <x v="2"/>
  </r>
  <r>
    <s v="US-2014-157385"/>
    <x v="255"/>
    <d v="2014-11-25T00:00:00"/>
    <x v="2"/>
    <s v="SC-20095"/>
    <s v="Sanjit Chand"/>
    <x v="0"/>
    <s v="United States"/>
    <x v="2"/>
    <x v="2"/>
    <x v="1"/>
    <s v="FUR-CH-10000863"/>
    <x v="0"/>
    <x v="1"/>
    <s v="Novimex Swivel Fabric Task Chair"/>
    <n v="603.91999999999996"/>
    <n v="5"/>
    <n v="-67.941000000000003"/>
    <x v="3"/>
    <x v="0"/>
  </r>
  <r>
    <s v="US-2014-157385"/>
    <x v="255"/>
    <d v="2014-11-25T00:00:00"/>
    <x v="2"/>
    <s v="SC-20095"/>
    <s v="Sanjit Chand"/>
    <x v="0"/>
    <s v="United States"/>
    <x v="2"/>
    <x v="2"/>
    <x v="1"/>
    <s v="FUR-CH-10000595"/>
    <x v="0"/>
    <x v="1"/>
    <s v="Safco Contoured Stacking Chairs"/>
    <n v="381.44"/>
    <n v="2"/>
    <n v="23.84"/>
    <x v="3"/>
    <x v="0"/>
  </r>
  <r>
    <s v="CA-2014-101602"/>
    <x v="256"/>
    <d v="2014-12-18T00:00:00"/>
    <x v="2"/>
    <s v="MC-18100"/>
    <s v="Mick Crebagga"/>
    <x v="0"/>
    <s v="United States"/>
    <x v="116"/>
    <x v="5"/>
    <x v="3"/>
    <s v="FUR-CH-10004675"/>
    <x v="0"/>
    <x v="1"/>
    <s v="Lifetime Advantage Folding Chairs, 4/Carton"/>
    <n v="763.28"/>
    <n v="5"/>
    <n v="-21.808"/>
    <x v="0"/>
    <x v="5"/>
  </r>
  <r>
    <s v="CA-2015-131338"/>
    <x v="38"/>
    <d v="2015-08-12T00:00:00"/>
    <x v="2"/>
    <s v="NP-18325"/>
    <s v="Naresj Patel"/>
    <x v="0"/>
    <s v="United States"/>
    <x v="13"/>
    <x v="7"/>
    <x v="2"/>
    <s v="FUR-TA-10002607"/>
    <x v="0"/>
    <x v="2"/>
    <s v="KI Conference Tables"/>
    <n v="382.80599999999998"/>
    <n v="9"/>
    <n v="-153.1224"/>
    <x v="0"/>
    <x v="10"/>
  </r>
  <r>
    <s v="CA-2015-131338"/>
    <x v="38"/>
    <d v="2015-08-12T00:00:00"/>
    <x v="2"/>
    <s v="NP-18325"/>
    <s v="Naresj Patel"/>
    <x v="0"/>
    <s v="United States"/>
    <x v="13"/>
    <x v="7"/>
    <x v="2"/>
    <s v="FUR-FU-10002157"/>
    <x v="0"/>
    <x v="3"/>
    <s v="Artistic Insta-Plaque"/>
    <n v="47.04"/>
    <n v="3"/>
    <n v="18.345600000000001"/>
    <x v="0"/>
    <x v="10"/>
  </r>
  <r>
    <s v="CA-2015-131338"/>
    <x v="38"/>
    <d v="2015-08-12T00:00:00"/>
    <x v="2"/>
    <s v="NP-18325"/>
    <s v="Naresj Patel"/>
    <x v="0"/>
    <s v="United States"/>
    <x v="13"/>
    <x v="7"/>
    <x v="2"/>
    <s v="FUR-FU-10001706"/>
    <x v="0"/>
    <x v="3"/>
    <s v="Longer-Life Soft White Bulbs"/>
    <n v="6.16"/>
    <n v="2"/>
    <n v="2.9567999999999999"/>
    <x v="0"/>
    <x v="10"/>
  </r>
  <r>
    <s v="CA-2015-118423"/>
    <x v="257"/>
    <d v="2015-03-27T00:00:00"/>
    <x v="2"/>
    <s v="DP-13390"/>
    <s v="Dennis Pardue"/>
    <x v="2"/>
    <s v="United States"/>
    <x v="117"/>
    <x v="8"/>
    <x v="3"/>
    <s v="FUR-BO-10000362"/>
    <x v="0"/>
    <x v="0"/>
    <s v="Sauder Inglewood Library Bookcases"/>
    <n v="359.05799999999999"/>
    <n v="3"/>
    <n v="-35.905799999999999"/>
    <x v="0"/>
    <x v="9"/>
  </r>
  <r>
    <s v="CA-2017-149181"/>
    <x v="258"/>
    <d v="2017-05-12T00:00:00"/>
    <x v="1"/>
    <s v="MD-17350"/>
    <s v="Maribeth Dona"/>
    <x v="0"/>
    <s v="United States"/>
    <x v="29"/>
    <x v="15"/>
    <x v="2"/>
    <s v="FUR-CH-10004540"/>
    <x v="0"/>
    <x v="1"/>
    <s v="Global Chrome Stack Chair"/>
    <n v="47.991999999999997"/>
    <n v="2"/>
    <n v="-2.0568"/>
    <x v="4"/>
    <x v="7"/>
  </r>
  <r>
    <s v="CA-2017-132234"/>
    <x v="259"/>
    <d v="2017-10-18T00:00:00"/>
    <x v="2"/>
    <s v="MY-17380"/>
    <s v="Maribeth Yedwab"/>
    <x v="1"/>
    <s v="United States"/>
    <x v="13"/>
    <x v="7"/>
    <x v="2"/>
    <s v="FUR-FU-10001290"/>
    <x v="0"/>
    <x v="3"/>
    <s v="Executive Impressions Supervisor Wall Clock"/>
    <n v="547.29999999999995"/>
    <n v="13"/>
    <n v="175.136"/>
    <x v="3"/>
    <x v="1"/>
  </r>
  <r>
    <s v="CA-2017-158876"/>
    <x v="49"/>
    <d v="2017-11-21T00:00:00"/>
    <x v="0"/>
    <s v="AB-10150"/>
    <s v="Aimee Bixby"/>
    <x v="0"/>
    <s v="United States"/>
    <x v="118"/>
    <x v="5"/>
    <x v="3"/>
    <s v="FUR-FU-10001967"/>
    <x v="0"/>
    <x v="3"/>
    <s v="Telescoping Adjustable Floor Lamp"/>
    <n v="15.992000000000001"/>
    <n v="2"/>
    <n v="-13.993"/>
    <x v="3"/>
    <x v="0"/>
  </r>
  <r>
    <s v="CA-2016-164672"/>
    <x v="260"/>
    <d v="2016-05-13T00:00:00"/>
    <x v="0"/>
    <s v="GB-14530"/>
    <s v="George Bell"/>
    <x v="1"/>
    <s v="United States"/>
    <x v="63"/>
    <x v="14"/>
    <x v="2"/>
    <s v="FUR-FU-10001488"/>
    <x v="0"/>
    <x v="3"/>
    <s v="Tenex 46&quot; x 60&quot; Computer Anti-Static Chairmat, Rectangular Shaped"/>
    <n v="211.96"/>
    <n v="2"/>
    <n v="42.392000000000003"/>
    <x v="2"/>
    <x v="7"/>
  </r>
  <r>
    <s v="CA-2014-156349"/>
    <x v="261"/>
    <d v="2014-05-30T00:00:00"/>
    <x v="1"/>
    <s v="ML-17395"/>
    <s v="Marina Lichtenstein"/>
    <x v="1"/>
    <s v="United States"/>
    <x v="2"/>
    <x v="2"/>
    <x v="1"/>
    <s v="FUR-BO-10000362"/>
    <x v="0"/>
    <x v="0"/>
    <s v="Sauder Inglewood Library Bookcases"/>
    <n v="290.666"/>
    <n v="2"/>
    <n v="27.3568"/>
    <x v="4"/>
    <x v="7"/>
  </r>
  <r>
    <s v="CA-2017-108560"/>
    <x v="220"/>
    <d v="2017-07-15T00:00:00"/>
    <x v="1"/>
    <s v="JC-15385"/>
    <s v="Jenna Caffey"/>
    <x v="0"/>
    <s v="United States"/>
    <x v="119"/>
    <x v="13"/>
    <x v="1"/>
    <s v="FUR-FU-10002937"/>
    <x v="0"/>
    <x v="3"/>
    <s v="GE 48&quot; Fluorescent Tube, Cool White Energy Saver, 34 Watts, 30/Box"/>
    <n v="198.46"/>
    <n v="2"/>
    <n v="99.23"/>
    <x v="1"/>
    <x v="3"/>
  </r>
  <r>
    <s v="CA-2015-143119"/>
    <x v="262"/>
    <d v="2015-09-30T00:00:00"/>
    <x v="1"/>
    <s v="MC-17275"/>
    <s v="Marc Crier"/>
    <x v="0"/>
    <s v="United States"/>
    <x v="120"/>
    <x v="35"/>
    <x v="0"/>
    <s v="FUR-CH-10001270"/>
    <x v="0"/>
    <x v="1"/>
    <s v="Harbour Creations Steel Folding Chair"/>
    <n v="517.5"/>
    <n v="6"/>
    <n v="155.25"/>
    <x v="6"/>
    <x v="4"/>
  </r>
  <r>
    <s v="CA-2017-101049"/>
    <x v="263"/>
    <d v="2017-06-25T00:00:00"/>
    <x v="0"/>
    <s v="AS-10240"/>
    <s v="Alan Shonely"/>
    <x v="0"/>
    <s v="United States"/>
    <x v="59"/>
    <x v="15"/>
    <x v="2"/>
    <s v="FUR-FU-10004415"/>
    <x v="0"/>
    <x v="3"/>
    <s v="Stacking Tray, Side-Loading, Legal, Smoke"/>
    <n v="17.920000000000002"/>
    <n v="5"/>
    <n v="2.464"/>
    <x v="4"/>
    <x v="2"/>
  </r>
  <r>
    <s v="CA-2016-157266"/>
    <x v="205"/>
    <d v="2016-06-01T00:00:00"/>
    <x v="1"/>
    <s v="TB-21280"/>
    <s v="Toby Braunhardt"/>
    <x v="0"/>
    <s v="United States"/>
    <x v="85"/>
    <x v="29"/>
    <x v="2"/>
    <s v="FUR-FU-10000629"/>
    <x v="0"/>
    <x v="3"/>
    <s v="9-3/4 Diameter Round Wall Clock"/>
    <n v="41.37"/>
    <n v="3"/>
    <n v="17.375399999999999"/>
    <x v="6"/>
    <x v="7"/>
  </r>
  <r>
    <s v="CA-2014-127159"/>
    <x v="264"/>
    <d v="2014-05-15T00:00:00"/>
    <x v="2"/>
    <s v="HL-15040"/>
    <s v="Hunter Lopez"/>
    <x v="0"/>
    <s v="United States"/>
    <x v="79"/>
    <x v="16"/>
    <x v="3"/>
    <s v="FUR-FU-10000010"/>
    <x v="0"/>
    <x v="3"/>
    <s v="DAX Value U-Channel Document Frames, Easel Back"/>
    <n v="34.79"/>
    <n v="7"/>
    <n v="10.7849"/>
    <x v="0"/>
    <x v="7"/>
  </r>
  <r>
    <s v="US-2015-157154"/>
    <x v="265"/>
    <d v="2015-01-15T00:00:00"/>
    <x v="1"/>
    <s v="MM-17920"/>
    <s v="Michael Moore"/>
    <x v="0"/>
    <s v="United States"/>
    <x v="13"/>
    <x v="7"/>
    <x v="2"/>
    <s v="FUR-TA-10001889"/>
    <x v="0"/>
    <x v="2"/>
    <s v="Bush Advantage Collection Racetrack Conference Table"/>
    <n v="1018.104"/>
    <n v="4"/>
    <n v="-373.3048"/>
    <x v="2"/>
    <x v="8"/>
  </r>
  <r>
    <s v="CA-2015-143077"/>
    <x v="5"/>
    <d v="2015-09-21T00:00:00"/>
    <x v="1"/>
    <s v="SF-20965"/>
    <s v="Sylvia Foulston"/>
    <x v="1"/>
    <s v="United States"/>
    <x v="6"/>
    <x v="5"/>
    <x v="3"/>
    <s v="FUR-FU-10003535"/>
    <x v="0"/>
    <x v="3"/>
    <s v="Howard Miller Distant Time Traveler Alarm Clock"/>
    <n v="21.936"/>
    <n v="2"/>
    <n v="-10.419600000000001"/>
    <x v="4"/>
    <x v="4"/>
  </r>
  <r>
    <s v="CA-2014-122882"/>
    <x v="266"/>
    <d v="2014-09-13T00:00:00"/>
    <x v="1"/>
    <s v="SB-20290"/>
    <s v="Sean Braxton"/>
    <x v="1"/>
    <s v="United States"/>
    <x v="3"/>
    <x v="3"/>
    <x v="2"/>
    <s v="FUR-FU-10000758"/>
    <x v="0"/>
    <x v="3"/>
    <s v="DAX Natural Wood-Tone Poster Frame"/>
    <n v="42.368000000000002"/>
    <n v="2"/>
    <n v="8.4735999999999994"/>
    <x v="6"/>
    <x v="4"/>
  </r>
  <r>
    <s v="CA-2016-147585"/>
    <x v="267"/>
    <d v="2016-11-12T00:00:00"/>
    <x v="1"/>
    <s v="CB-12535"/>
    <s v="Claudia Bergmann"/>
    <x v="1"/>
    <s v="United States"/>
    <x v="28"/>
    <x v="2"/>
    <x v="1"/>
    <s v="FUR-FU-10002597"/>
    <x v="0"/>
    <x v="3"/>
    <s v="C-Line Magnetic Cubicle Keepers, Clear Polypropylene"/>
    <n v="14.82"/>
    <n v="3"/>
    <n v="6.2244000000000002"/>
    <x v="2"/>
    <x v="0"/>
  </r>
  <r>
    <s v="CA-2017-143798"/>
    <x v="247"/>
    <d v="2017-12-12T00:00:00"/>
    <x v="2"/>
    <s v="AW-10840"/>
    <s v="Anthony Witt"/>
    <x v="0"/>
    <s v="United States"/>
    <x v="3"/>
    <x v="3"/>
    <x v="2"/>
    <s v="FUR-FU-10004306"/>
    <x v="0"/>
    <x v="3"/>
    <s v="Electrix Halogen Magnifier Lamp"/>
    <n v="310.88"/>
    <n v="2"/>
    <n v="23.315999999999999"/>
    <x v="3"/>
    <x v="5"/>
  </r>
  <r>
    <s v="CA-2014-142839"/>
    <x v="268"/>
    <d v="2014-08-20T00:00:00"/>
    <x v="1"/>
    <s v="TS-21610"/>
    <s v="Troy Staebel"/>
    <x v="0"/>
    <s v="United States"/>
    <x v="3"/>
    <x v="3"/>
    <x v="2"/>
    <s v="FUR-TA-10001539"/>
    <x v="0"/>
    <x v="2"/>
    <s v="Chromcraft Rectangular Conference Tables"/>
    <n v="853.09199999999998"/>
    <n v="6"/>
    <n v="-227.49119999999999"/>
    <x v="4"/>
    <x v="10"/>
  </r>
  <r>
    <s v="US-2016-154361"/>
    <x v="269"/>
    <d v="2016-03-19T00:00:00"/>
    <x v="1"/>
    <s v="HZ-14950"/>
    <s v="Henia Zydlo"/>
    <x v="0"/>
    <s v="United States"/>
    <x v="29"/>
    <x v="15"/>
    <x v="2"/>
    <s v="FUR-FU-10004020"/>
    <x v="0"/>
    <x v="3"/>
    <s v="Advantus Panel Wall Acrylic Frame"/>
    <n v="21.88"/>
    <n v="5"/>
    <n v="6.2904999999999998"/>
    <x v="2"/>
    <x v="9"/>
  </r>
  <r>
    <s v="CA-2014-135657"/>
    <x v="270"/>
    <d v="2014-06-07T00:00:00"/>
    <x v="0"/>
    <s v="SC-20725"/>
    <s v="Steven Cartwright"/>
    <x v="0"/>
    <s v="United States"/>
    <x v="15"/>
    <x v="13"/>
    <x v="1"/>
    <s v="FUR-TA-10004086"/>
    <x v="0"/>
    <x v="2"/>
    <s v="KI Adjustable-Height Table"/>
    <n v="515.88"/>
    <n v="6"/>
    <n v="113.4936"/>
    <x v="4"/>
    <x v="2"/>
  </r>
  <r>
    <s v="CA-2015-114069"/>
    <x v="271"/>
    <d v="2015-07-15T00:00:00"/>
    <x v="0"/>
    <s v="ND-18370"/>
    <s v="Natalie DeCherney"/>
    <x v="0"/>
    <s v="United States"/>
    <x v="13"/>
    <x v="7"/>
    <x v="2"/>
    <s v="FUR-CH-10000595"/>
    <x v="0"/>
    <x v="1"/>
    <s v="Safco Contoured Stacking Chairs"/>
    <n v="1931.04"/>
    <n v="9"/>
    <n v="321.83999999999997"/>
    <x v="3"/>
    <x v="3"/>
  </r>
  <r>
    <s v="CA-2017-123491"/>
    <x v="242"/>
    <d v="2017-11-05T00:00:00"/>
    <x v="1"/>
    <s v="JK-15205"/>
    <s v="Jamie Kunitz"/>
    <x v="0"/>
    <s v="United States"/>
    <x v="28"/>
    <x v="2"/>
    <x v="1"/>
    <s v="FUR-CH-10003061"/>
    <x v="0"/>
    <x v="1"/>
    <s v="Global Leather Task Chair, Black"/>
    <n v="71.992000000000004"/>
    <n v="1"/>
    <n v="-0.89990000000000003"/>
    <x v="6"/>
    <x v="1"/>
  </r>
  <r>
    <s v="US-2017-124968"/>
    <x v="272"/>
    <d v="2017-09-13T00:00:00"/>
    <x v="0"/>
    <s v="MM-18055"/>
    <s v="Michelle Moray"/>
    <x v="0"/>
    <s v="United States"/>
    <x v="9"/>
    <x v="8"/>
    <x v="3"/>
    <s v="FUR-TA-10004289"/>
    <x v="0"/>
    <x v="2"/>
    <s v="BoxOffice By Design Rectangular and Half-Moon Meeting Room Tables"/>
    <n v="765.625"/>
    <n v="7"/>
    <n v="-566.5625"/>
    <x v="2"/>
    <x v="4"/>
  </r>
  <r>
    <s v="CA-2017-104003"/>
    <x v="273"/>
    <d v="2017-10-13T00:00:00"/>
    <x v="1"/>
    <s v="DC-13285"/>
    <s v="Debra Catini"/>
    <x v="0"/>
    <s v="United States"/>
    <x v="28"/>
    <x v="2"/>
    <x v="1"/>
    <s v="FUR-BO-10003965"/>
    <x v="0"/>
    <x v="0"/>
    <s v="O'Sullivan Manor Hill 2-Door Library in Brianna Oak"/>
    <n v="307.666"/>
    <n v="2"/>
    <n v="-14.478400000000001"/>
    <x v="6"/>
    <x v="1"/>
  </r>
  <r>
    <s v="CA-2016-169943"/>
    <x v="128"/>
    <d v="2016-05-24T00:00:00"/>
    <x v="1"/>
    <s v="BN-11515"/>
    <s v="Bradley Nguyen"/>
    <x v="0"/>
    <s v="United States"/>
    <x v="13"/>
    <x v="7"/>
    <x v="2"/>
    <s v="FUR-FU-10002088"/>
    <x v="0"/>
    <x v="3"/>
    <s v="Nu-Dell Float Frame 11 x 14 1/2"/>
    <n v="35.92"/>
    <n v="4"/>
    <n v="15.086399999999999"/>
    <x v="2"/>
    <x v="7"/>
  </r>
  <r>
    <s v="CA-2016-169943"/>
    <x v="128"/>
    <d v="2016-05-24T00:00:00"/>
    <x v="1"/>
    <s v="BN-11515"/>
    <s v="Bradley Nguyen"/>
    <x v="0"/>
    <s v="United States"/>
    <x v="13"/>
    <x v="7"/>
    <x v="2"/>
    <s v="FUR-FU-10000010"/>
    <x v="0"/>
    <x v="3"/>
    <s v="DAX Value U-Channel Document Frames, Easel Back"/>
    <n v="39.76"/>
    <n v="8"/>
    <n v="12.3256"/>
    <x v="2"/>
    <x v="7"/>
  </r>
  <r>
    <s v="US-2015-123218"/>
    <x v="274"/>
    <d v="2015-12-25T00:00:00"/>
    <x v="1"/>
    <s v="KD-16345"/>
    <s v="Katherine Ducich"/>
    <x v="0"/>
    <s v="United States"/>
    <x v="9"/>
    <x v="8"/>
    <x v="3"/>
    <s v="FUR-BO-10003966"/>
    <x v="0"/>
    <x v="0"/>
    <s v="Sauder Facets Collection Library, Sky Alder Finish"/>
    <n v="359.05799999999999"/>
    <n v="3"/>
    <n v="-71.811599999999999"/>
    <x v="2"/>
    <x v="5"/>
  </r>
  <r>
    <s v="US-2017-164056"/>
    <x v="275"/>
    <d v="2017-05-04T00:00:00"/>
    <x v="0"/>
    <s v="FM-14215"/>
    <s v="Filia McAdams"/>
    <x v="1"/>
    <s v="United States"/>
    <x v="24"/>
    <x v="15"/>
    <x v="2"/>
    <s v="FUR-TA-10001307"/>
    <x v="0"/>
    <x v="2"/>
    <s v="SAFCO PlanMaster Heigh-Adjustable Drafting Table Base, 43w x 30d x 30-37h, Black"/>
    <n v="1048.3499999999999"/>
    <n v="5"/>
    <n v="-69.89"/>
    <x v="2"/>
    <x v="6"/>
  </r>
  <r>
    <s v="CA-2017-152807"/>
    <x v="242"/>
    <d v="2017-11-03T00:00:00"/>
    <x v="1"/>
    <s v="MC-18100"/>
    <s v="Mick Crebagga"/>
    <x v="0"/>
    <s v="United States"/>
    <x v="3"/>
    <x v="3"/>
    <x v="2"/>
    <s v="FUR-FU-10004415"/>
    <x v="0"/>
    <x v="3"/>
    <s v="Stacking Tray, Side-Loading, Legal, Smoke"/>
    <n v="7.1680000000000001"/>
    <n v="2"/>
    <n v="0.98560000000000003"/>
    <x v="4"/>
    <x v="1"/>
  </r>
  <r>
    <s v="CA-2015-139094"/>
    <x v="276"/>
    <d v="2015-11-27T00:00:00"/>
    <x v="1"/>
    <s v="MO-17800"/>
    <s v="Meg O'Connel"/>
    <x v="2"/>
    <s v="United States"/>
    <x v="21"/>
    <x v="5"/>
    <x v="3"/>
    <s v="FUR-TA-10004607"/>
    <x v="0"/>
    <x v="2"/>
    <s v="Hon 2111 Invitation Series Straight Table"/>
    <n v="206.96199999999999"/>
    <n v="2"/>
    <n v="-32.522599999999997"/>
    <x v="2"/>
    <x v="0"/>
  </r>
  <r>
    <s v="CA-2017-168837"/>
    <x v="277"/>
    <d v="2017-10-17T00:00:00"/>
    <x v="2"/>
    <s v="JW-15955"/>
    <s v="Joni Wasserman"/>
    <x v="0"/>
    <s v="United States"/>
    <x v="121"/>
    <x v="2"/>
    <x v="1"/>
    <s v="FUR-FU-10001918"/>
    <x v="0"/>
    <x v="3"/>
    <s v="C-Line Cubicle Keepers Polyproplyene Holder With Velcro Backings"/>
    <n v="9.4600000000000009"/>
    <n v="2"/>
    <n v="3.6894"/>
    <x v="0"/>
    <x v="1"/>
  </r>
  <r>
    <s v="CA-2015-130785"/>
    <x v="278"/>
    <d v="2015-09-09T00:00:00"/>
    <x v="1"/>
    <s v="AG-10900"/>
    <s v="Arthur Gainer"/>
    <x v="0"/>
    <s v="United States"/>
    <x v="53"/>
    <x v="2"/>
    <x v="1"/>
    <s v="FUR-BO-10000330"/>
    <x v="0"/>
    <x v="0"/>
    <s v="Sauder Camden County Barrister Bookcase, Planked Cherry Finish"/>
    <n v="411.33199999999999"/>
    <n v="4"/>
    <n v="-4.8391999999999999"/>
    <x v="4"/>
    <x v="4"/>
  </r>
  <r>
    <s v="CA-2015-130785"/>
    <x v="278"/>
    <d v="2015-09-09T00:00:00"/>
    <x v="1"/>
    <s v="AG-10900"/>
    <s v="Arthur Gainer"/>
    <x v="0"/>
    <s v="United States"/>
    <x v="53"/>
    <x v="2"/>
    <x v="1"/>
    <s v="FUR-BO-10003159"/>
    <x v="0"/>
    <x v="0"/>
    <s v="Sauder Camden County Collection Libraries, Planked Cherry Finish"/>
    <n v="293.19900000000001"/>
    <n v="3"/>
    <n v="-20.696400000000001"/>
    <x v="4"/>
    <x v="4"/>
  </r>
  <r>
    <s v="CA-2016-110254"/>
    <x v="279"/>
    <d v="2016-08-08T00:00:00"/>
    <x v="1"/>
    <s v="ML-17755"/>
    <s v="Max Ludwig"/>
    <x v="2"/>
    <s v="United States"/>
    <x v="122"/>
    <x v="25"/>
    <x v="0"/>
    <s v="FUR-FU-10001591"/>
    <x v="0"/>
    <x v="3"/>
    <s v="Advantus Panel Wall Certificate Holder - 8.5x11"/>
    <n v="109.8"/>
    <n v="9"/>
    <n v="46.116"/>
    <x v="4"/>
    <x v="10"/>
  </r>
  <r>
    <s v="CA-2014-120474"/>
    <x v="280"/>
    <d v="2014-12-03T00:00:00"/>
    <x v="2"/>
    <s v="RP-19390"/>
    <s v="Resi Pšlking"/>
    <x v="0"/>
    <s v="United States"/>
    <x v="123"/>
    <x v="16"/>
    <x v="3"/>
    <s v="FUR-CH-10001854"/>
    <x v="0"/>
    <x v="1"/>
    <s v="Office Star - Professional Matrix Back Chair with 2-to-1 Synchro Tilt and Mesh Fabric Seat"/>
    <n v="2807.84"/>
    <n v="8"/>
    <n v="673.88160000000005"/>
    <x v="3"/>
    <x v="5"/>
  </r>
  <r>
    <s v="CA-2016-100965"/>
    <x v="281"/>
    <d v="2016-07-11T00:00:00"/>
    <x v="1"/>
    <s v="RM-19375"/>
    <s v="Raymond Messe"/>
    <x v="0"/>
    <s v="United States"/>
    <x v="124"/>
    <x v="2"/>
    <x v="1"/>
    <s v="FUR-FU-10003039"/>
    <x v="0"/>
    <x v="3"/>
    <s v="Howard Miller 11-1/2&quot; Diameter Grantwood Wall Clock"/>
    <n v="215.65"/>
    <n v="5"/>
    <n v="73.320999999999998"/>
    <x v="4"/>
    <x v="3"/>
  </r>
  <r>
    <s v="CA-2016-149461"/>
    <x v="282"/>
    <d v="2016-11-19T00:00:00"/>
    <x v="1"/>
    <s v="AS-10135"/>
    <s v="Adrian Shami"/>
    <x v="2"/>
    <s v="United States"/>
    <x v="83"/>
    <x v="13"/>
    <x v="1"/>
    <s v="FUR-FU-10004270"/>
    <x v="0"/>
    <x v="3"/>
    <s v="Eldon Image Series Desk Accessories, Burgundy"/>
    <n v="4.18"/>
    <n v="1"/>
    <n v="1.5047999999999999"/>
    <x v="6"/>
    <x v="0"/>
  </r>
  <r>
    <s v="CA-2016-165484"/>
    <x v="283"/>
    <d v="2016-10-29T00:00:00"/>
    <x v="1"/>
    <s v="HK-14890"/>
    <s v="Heather Kirkland"/>
    <x v="1"/>
    <s v="United States"/>
    <x v="9"/>
    <x v="8"/>
    <x v="3"/>
    <s v="FUR-FU-10001196"/>
    <x v="0"/>
    <x v="3"/>
    <s v="DAX Cubicle Frames - 8x10"/>
    <n v="16.155999999999999"/>
    <n v="7"/>
    <n v="-12.117000000000001"/>
    <x v="6"/>
    <x v="1"/>
  </r>
  <r>
    <s v="CA-2014-132612"/>
    <x v="2"/>
    <d v="2014-06-11T00:00:00"/>
    <x v="0"/>
    <s v="FO-14305"/>
    <s v="Frank Olsen"/>
    <x v="0"/>
    <s v="United States"/>
    <x v="95"/>
    <x v="25"/>
    <x v="0"/>
    <s v="FUR-TA-10004534"/>
    <x v="0"/>
    <x v="2"/>
    <s v="Bevis 44 x 96 Conference Tables"/>
    <n v="1441.3"/>
    <n v="7"/>
    <n v="245.02099999999999"/>
    <x v="3"/>
    <x v="2"/>
  </r>
  <r>
    <s v="US-2017-161193"/>
    <x v="93"/>
    <d v="2017-11-26T00:00:00"/>
    <x v="1"/>
    <s v="BT-11680"/>
    <s v="Brian Thompson"/>
    <x v="0"/>
    <s v="United States"/>
    <x v="19"/>
    <x v="15"/>
    <x v="2"/>
    <s v="FUR-FU-10001861"/>
    <x v="0"/>
    <x v="3"/>
    <s v="Floodlight Indoor Halogen Bulbs, 1 Bulb per Pack, 60 Watts"/>
    <n v="77.599999999999994"/>
    <n v="5"/>
    <n v="28.13"/>
    <x v="6"/>
    <x v="0"/>
  </r>
  <r>
    <s v="US-2017-161193"/>
    <x v="93"/>
    <d v="2017-11-26T00:00:00"/>
    <x v="1"/>
    <s v="BT-11680"/>
    <s v="Brian Thompson"/>
    <x v="0"/>
    <s v="United States"/>
    <x v="19"/>
    <x v="15"/>
    <x v="2"/>
    <s v="FUR-FU-10000206"/>
    <x v="0"/>
    <x v="3"/>
    <s v="GE General Purpose, Extra Long Life, Showcase &amp; Floodlight Incandescent Bulbs"/>
    <n v="4.6559999999999997"/>
    <n v="2"/>
    <n v="1.5713999999999999"/>
    <x v="6"/>
    <x v="0"/>
  </r>
  <r>
    <s v="CA-2015-131597"/>
    <x v="221"/>
    <d v="2015-09-18T00:00:00"/>
    <x v="1"/>
    <s v="SP-20620"/>
    <s v="Stefania Perrino"/>
    <x v="1"/>
    <s v="United States"/>
    <x v="2"/>
    <x v="2"/>
    <x v="1"/>
    <s v="FUR-TA-10002607"/>
    <x v="0"/>
    <x v="2"/>
    <s v="KI Conference Tables"/>
    <n v="170.136"/>
    <n v="3"/>
    <n v="-8.5068000000000001"/>
    <x v="4"/>
    <x v="4"/>
  </r>
  <r>
    <s v="US-2014-130379"/>
    <x v="284"/>
    <d v="2014-05-29T00:00:00"/>
    <x v="1"/>
    <s v="JL-15235"/>
    <s v="Janet Lee"/>
    <x v="0"/>
    <s v="United States"/>
    <x v="9"/>
    <x v="8"/>
    <x v="3"/>
    <s v="FUR-FU-10002553"/>
    <x v="0"/>
    <x v="3"/>
    <s v="Electrix Incandescent Magnifying Lamp, Black"/>
    <n v="29.32"/>
    <n v="2"/>
    <n v="-24.189"/>
    <x v="4"/>
    <x v="7"/>
  </r>
  <r>
    <s v="CA-2016-168956"/>
    <x v="285"/>
    <d v="2016-02-20T00:00:00"/>
    <x v="1"/>
    <s v="EA-14035"/>
    <s v="Erin Ashbrook"/>
    <x v="1"/>
    <s v="United States"/>
    <x v="9"/>
    <x v="8"/>
    <x v="3"/>
    <s v="FUR-CH-10004754"/>
    <x v="0"/>
    <x v="1"/>
    <s v="Global Stack Chair with Arms, Black"/>
    <n v="62.957999999999998"/>
    <n v="3"/>
    <n v="-2.6981999999999999"/>
    <x v="4"/>
    <x v="11"/>
  </r>
  <r>
    <s v="CA-2016-167507"/>
    <x v="286"/>
    <d v="2016-12-28T00:00:00"/>
    <x v="1"/>
    <s v="SA-20830"/>
    <s v="Sue Ann Reed"/>
    <x v="0"/>
    <s v="United States"/>
    <x v="125"/>
    <x v="36"/>
    <x v="1"/>
    <s v="FUR-FU-10001935"/>
    <x v="0"/>
    <x v="3"/>
    <s v="3M Hangers With Command Adhesive"/>
    <n v="11.84"/>
    <n v="4"/>
    <n v="3.1080000000000001"/>
    <x v="6"/>
    <x v="5"/>
  </r>
  <r>
    <s v="CA-2016-167507"/>
    <x v="286"/>
    <d v="2016-12-28T00:00:00"/>
    <x v="1"/>
    <s v="SA-20830"/>
    <s v="Sue Ann Reed"/>
    <x v="0"/>
    <s v="United States"/>
    <x v="125"/>
    <x v="36"/>
    <x v="1"/>
    <s v="FUR-FU-10002878"/>
    <x v="0"/>
    <x v="3"/>
    <s v="Seth Thomas 14&quot; Day/Date Wall Clock"/>
    <n v="22.783999999999999"/>
    <n v="1"/>
    <n v="4.8415999999999997"/>
    <x v="6"/>
    <x v="5"/>
  </r>
  <r>
    <s v="CA-2017-145884"/>
    <x v="85"/>
    <d v="2017-10-21T00:00:00"/>
    <x v="3"/>
    <s v="SL-20155"/>
    <s v="Sara Luxemburg"/>
    <x v="2"/>
    <s v="United States"/>
    <x v="126"/>
    <x v="37"/>
    <x v="3"/>
    <s v="FUR-TA-10002356"/>
    <x v="0"/>
    <x v="2"/>
    <s v="Bevis Boat-Shaped Conference Table"/>
    <n v="262.11"/>
    <n v="1"/>
    <n v="62.906399999999998"/>
    <x v="7"/>
    <x v="1"/>
  </r>
  <r>
    <s v="CA-2015-131422"/>
    <x v="287"/>
    <d v="2015-11-09T00:00:00"/>
    <x v="1"/>
    <s v="GB-14530"/>
    <s v="George Bell"/>
    <x v="1"/>
    <s v="United States"/>
    <x v="91"/>
    <x v="30"/>
    <x v="0"/>
    <s v="FUR-CH-10001270"/>
    <x v="0"/>
    <x v="1"/>
    <s v="Harbour Creations Steel Folding Chair"/>
    <n v="207"/>
    <n v="3"/>
    <n v="25.875"/>
    <x v="4"/>
    <x v="0"/>
  </r>
  <r>
    <s v="CA-2014-117345"/>
    <x v="288"/>
    <d v="2014-08-05T00:00:00"/>
    <x v="1"/>
    <s v="BF-10975"/>
    <s v="Barbara Fisher"/>
    <x v="1"/>
    <s v="United States"/>
    <x v="127"/>
    <x v="30"/>
    <x v="0"/>
    <s v="FUR-FU-10000629"/>
    <x v="0"/>
    <x v="3"/>
    <s v="9-3/4 Diameter Round Wall Clock"/>
    <n v="44.128"/>
    <n v="4"/>
    <n v="12.135199999999999"/>
    <x v="4"/>
    <x v="10"/>
  </r>
  <r>
    <s v="CA-2016-157763"/>
    <x v="196"/>
    <d v="2016-07-23T00:00:00"/>
    <x v="1"/>
    <s v="KH-16330"/>
    <s v="Katharine Harms"/>
    <x v="1"/>
    <s v="United States"/>
    <x v="128"/>
    <x v="0"/>
    <x v="0"/>
    <s v="FUR-CH-10000988"/>
    <x v="0"/>
    <x v="1"/>
    <s v="Hon Olson Stacker Stools"/>
    <n v="140.81"/>
    <n v="1"/>
    <n v="39.4268"/>
    <x v="2"/>
    <x v="3"/>
  </r>
  <r>
    <s v="CA-2015-135391"/>
    <x v="289"/>
    <d v="2015-02-11T00:00:00"/>
    <x v="0"/>
    <s v="FA-14230"/>
    <s v="Frank Atkinson"/>
    <x v="1"/>
    <s v="United States"/>
    <x v="21"/>
    <x v="5"/>
    <x v="3"/>
    <s v="FUR-FU-10001986"/>
    <x v="0"/>
    <x v="3"/>
    <s v="Dana Fluorescent Magnifying Lamp, White, 36&quot;"/>
    <n v="40.783999999999999"/>
    <n v="2"/>
    <n v="-30.588000000000001"/>
    <x v="3"/>
    <x v="11"/>
  </r>
  <r>
    <s v="US-2017-158512"/>
    <x v="290"/>
    <d v="2017-01-17T00:00:00"/>
    <x v="0"/>
    <s v="DA-13450"/>
    <s v="Dianna Arnett"/>
    <x v="2"/>
    <s v="United States"/>
    <x v="85"/>
    <x v="29"/>
    <x v="2"/>
    <s v="FUR-FU-10004973"/>
    <x v="0"/>
    <x v="3"/>
    <s v="Flat Face Poster Frame"/>
    <n v="37.68"/>
    <n v="2"/>
    <n v="15.8256"/>
    <x v="2"/>
    <x v="8"/>
  </r>
  <r>
    <s v="CA-2017-128370"/>
    <x v="291"/>
    <d v="2017-09-10T00:00:00"/>
    <x v="3"/>
    <s v="FH-14275"/>
    <s v="Frank Hawley"/>
    <x v="1"/>
    <s v="United States"/>
    <x v="2"/>
    <x v="2"/>
    <x v="1"/>
    <s v="FUR-CH-10002602"/>
    <x v="0"/>
    <x v="1"/>
    <s v="DMI Arturo Collection Mission-style Design Wood Chair"/>
    <n v="362.35199999999998"/>
    <n v="3"/>
    <n v="27.176400000000001"/>
    <x v="7"/>
    <x v="4"/>
  </r>
  <r>
    <s v="US-2017-121251"/>
    <x v="292"/>
    <d v="2017-03-27T00:00:00"/>
    <x v="2"/>
    <s v="GM-14440"/>
    <s v="Gary McGarr"/>
    <x v="0"/>
    <s v="United States"/>
    <x v="13"/>
    <x v="7"/>
    <x v="2"/>
    <s v="FUR-BO-10001918"/>
    <x v="0"/>
    <x v="0"/>
    <s v="Sauder Forest Hills Library with Doors, Woodland Oak Finish"/>
    <n v="257.56799999999998"/>
    <n v="2"/>
    <n v="-28.976400000000002"/>
    <x v="5"/>
    <x v="9"/>
  </r>
  <r>
    <s v="US-2016-100839"/>
    <x v="25"/>
    <d v="2016-10-17T00:00:00"/>
    <x v="1"/>
    <s v="NC-18625"/>
    <s v="Noah Childs"/>
    <x v="1"/>
    <s v="United States"/>
    <x v="14"/>
    <x v="12"/>
    <x v="1"/>
    <s v="FUR-TA-10004575"/>
    <x v="0"/>
    <x v="2"/>
    <s v="Hon 5100 Series Wood Tables"/>
    <n v="727.45"/>
    <n v="5"/>
    <n v="-465.56799999999998"/>
    <x v="4"/>
    <x v="1"/>
  </r>
  <r>
    <s v="US-2016-100839"/>
    <x v="25"/>
    <d v="2016-10-17T00:00:00"/>
    <x v="1"/>
    <s v="NC-18625"/>
    <s v="Noah Childs"/>
    <x v="1"/>
    <s v="United States"/>
    <x v="14"/>
    <x v="12"/>
    <x v="1"/>
    <s v="FUR-FU-10001617"/>
    <x v="0"/>
    <x v="3"/>
    <s v="Executive Impressions 8-1/2&quot; Career Panel/Partition Cubicle Clock"/>
    <n v="24.96"/>
    <n v="3"/>
    <n v="4.3680000000000003"/>
    <x v="4"/>
    <x v="1"/>
  </r>
  <r>
    <s v="CA-2017-118857"/>
    <x v="293"/>
    <d v="2017-04-18T00:00:00"/>
    <x v="2"/>
    <s v="AH-10075"/>
    <s v="Adam Hart"/>
    <x v="1"/>
    <s v="United States"/>
    <x v="0"/>
    <x v="34"/>
    <x v="1"/>
    <s v="FUR-FU-10004460"/>
    <x v="0"/>
    <x v="3"/>
    <s v="Howard Miller 12&quot; Round Wall Clock"/>
    <n v="196.45"/>
    <n v="5"/>
    <n v="70.721999999999994"/>
    <x v="0"/>
    <x v="6"/>
  </r>
  <r>
    <s v="CA-2014-116932"/>
    <x v="294"/>
    <d v="2014-07-25T00:00:00"/>
    <x v="1"/>
    <s v="ME-18010"/>
    <s v="Michelle Ellison"/>
    <x v="1"/>
    <s v="United States"/>
    <x v="28"/>
    <x v="2"/>
    <x v="1"/>
    <s v="FUR-CH-10001215"/>
    <x v="0"/>
    <x v="1"/>
    <s v="Global Troy Executive Leather Low-Back Tilter"/>
    <n v="801.56799999999998"/>
    <n v="2"/>
    <n v="50.097999999999999"/>
    <x v="4"/>
    <x v="3"/>
  </r>
  <r>
    <s v="CA-2014-116932"/>
    <x v="294"/>
    <d v="2014-07-25T00:00:00"/>
    <x v="1"/>
    <s v="ME-18010"/>
    <s v="Michelle Ellison"/>
    <x v="1"/>
    <s v="United States"/>
    <x v="28"/>
    <x v="2"/>
    <x v="1"/>
    <s v="FUR-TA-10004175"/>
    <x v="0"/>
    <x v="2"/>
    <s v="Hon 30&quot; x 60&quot; Table with Locking Drawer"/>
    <n v="272.84800000000001"/>
    <n v="1"/>
    <n v="27.284800000000001"/>
    <x v="4"/>
    <x v="3"/>
  </r>
  <r>
    <s v="CA-2017-142888"/>
    <x v="295"/>
    <d v="2017-11-25T00:00:00"/>
    <x v="1"/>
    <s v="BP-11230"/>
    <s v="Benjamin Patterson"/>
    <x v="0"/>
    <s v="United States"/>
    <x v="129"/>
    <x v="13"/>
    <x v="1"/>
    <s v="FUR-TA-10004767"/>
    <x v="0"/>
    <x v="2"/>
    <s v="Safco Drafting Table"/>
    <n v="70.98"/>
    <n v="1"/>
    <n v="20.584199999999999"/>
    <x v="4"/>
    <x v="0"/>
  </r>
  <r>
    <s v="US-2016-112977"/>
    <x v="296"/>
    <d v="2016-03-16T00:00:00"/>
    <x v="1"/>
    <s v="CJ-12010"/>
    <s v="Caroline Jumper"/>
    <x v="0"/>
    <s v="United States"/>
    <x v="62"/>
    <x v="7"/>
    <x v="2"/>
    <s v="FUR-BO-10003272"/>
    <x v="0"/>
    <x v="0"/>
    <s v="O'Sullivan Living Dimensions 5-Shelf Bookcases"/>
    <n v="176.78399999999999"/>
    <n v="1"/>
    <n v="-22.097999999999999"/>
    <x v="6"/>
    <x v="9"/>
  </r>
  <r>
    <s v="CA-2017-118885"/>
    <x v="297"/>
    <d v="2018-01-02T00:00:00"/>
    <x v="1"/>
    <s v="JG-15160"/>
    <s v="James Galang"/>
    <x v="0"/>
    <s v="United States"/>
    <x v="2"/>
    <x v="2"/>
    <x v="1"/>
    <s v="FUR-CH-10002880"/>
    <x v="0"/>
    <x v="1"/>
    <s v="Global High-Back Leather Tilter, Burgundy"/>
    <n v="393.56799999999998"/>
    <n v="4"/>
    <n v="-44.276400000000002"/>
    <x v="4"/>
    <x v="5"/>
  </r>
  <r>
    <s v="CA-2015-109512"/>
    <x v="298"/>
    <d v="2015-03-05T00:00:00"/>
    <x v="3"/>
    <s v="LF-17185"/>
    <s v="Luke Foster"/>
    <x v="0"/>
    <s v="United States"/>
    <x v="13"/>
    <x v="7"/>
    <x v="2"/>
    <s v="FUR-CH-10001146"/>
    <x v="0"/>
    <x v="1"/>
    <s v="Global Value Mid-Back Manager's Chair, Gray"/>
    <n v="383.60700000000003"/>
    <n v="7"/>
    <n v="63.9345"/>
    <x v="7"/>
    <x v="9"/>
  </r>
  <r>
    <s v="CA-2016-147578"/>
    <x v="74"/>
    <d v="2016-04-26T00:00:00"/>
    <x v="0"/>
    <s v="PG-18895"/>
    <s v="Paul Gonzalez"/>
    <x v="0"/>
    <s v="United States"/>
    <x v="28"/>
    <x v="2"/>
    <x v="1"/>
    <s v="FUR-FU-10001889"/>
    <x v="0"/>
    <x v="3"/>
    <s v="Ultra Door Pull Handle"/>
    <n v="31.56"/>
    <n v="3"/>
    <n v="10.4148"/>
    <x v="4"/>
    <x v="6"/>
  </r>
  <r>
    <s v="CA-2014-142587"/>
    <x v="299"/>
    <d v="2014-10-22T00:00:00"/>
    <x v="2"/>
    <s v="TB-21520"/>
    <s v="Tracy Blumstein"/>
    <x v="0"/>
    <s v="United States"/>
    <x v="130"/>
    <x v="15"/>
    <x v="2"/>
    <s v="FUR-TA-10000617"/>
    <x v="0"/>
    <x v="2"/>
    <s v="Hon Practical Foundations 30 x 60 Training Table, Light Gray/Charcoal"/>
    <n v="409.59"/>
    <n v="3"/>
    <n v="-122.877"/>
    <x v="5"/>
    <x v="1"/>
  </r>
  <r>
    <s v="CA-2014-169775"/>
    <x v="300"/>
    <d v="2014-09-02T00:00:00"/>
    <x v="0"/>
    <s v="RA-19945"/>
    <s v="Ryan Akin"/>
    <x v="0"/>
    <s v="United States"/>
    <x v="89"/>
    <x v="1"/>
    <x v="0"/>
    <s v="FUR-TA-10001857"/>
    <x v="0"/>
    <x v="2"/>
    <s v="Balt Solid Wood Rectangular Table"/>
    <n v="174.05850000000001"/>
    <n v="3"/>
    <n v="-110.7645"/>
    <x v="4"/>
    <x v="10"/>
  </r>
  <r>
    <s v="CA-2017-167094"/>
    <x v="85"/>
    <d v="2017-10-22T00:00:00"/>
    <x v="2"/>
    <s v="DK-12835"/>
    <s v="Damala Kotsonis"/>
    <x v="1"/>
    <s v="United States"/>
    <x v="76"/>
    <x v="36"/>
    <x v="1"/>
    <s v="FUR-CH-10000155"/>
    <x v="0"/>
    <x v="1"/>
    <s v="Global Comet Stacking Armless Chair"/>
    <n v="478.48"/>
    <n v="2"/>
    <n v="47.847999999999999"/>
    <x v="5"/>
    <x v="1"/>
  </r>
  <r>
    <s v="CA-2015-157959"/>
    <x v="136"/>
    <d v="2015-02-04T00:00:00"/>
    <x v="2"/>
    <s v="RW-19540"/>
    <s v="Rick Wilson"/>
    <x v="1"/>
    <s v="United States"/>
    <x v="2"/>
    <x v="2"/>
    <x v="1"/>
    <s v="FUR-FU-10004093"/>
    <x v="0"/>
    <x v="3"/>
    <s v="Hand-Finished Solid Wood Document Frame"/>
    <n v="136.91999999999999"/>
    <n v="4"/>
    <n v="41.076000000000001"/>
    <x v="5"/>
    <x v="11"/>
  </r>
  <r>
    <s v="CA-2017-105886"/>
    <x v="186"/>
    <d v="2017-12-23T00:00:00"/>
    <x v="1"/>
    <s v="DB-13660"/>
    <s v="Duane Benoit"/>
    <x v="0"/>
    <s v="United States"/>
    <x v="64"/>
    <x v="7"/>
    <x v="2"/>
    <s v="FUR-FU-10001037"/>
    <x v="0"/>
    <x v="3"/>
    <s v="DAX Charcoal/Nickel-Tone Document Frame, 5 x 7"/>
    <n v="18.96"/>
    <n v="2"/>
    <n v="8.532"/>
    <x v="2"/>
    <x v="5"/>
  </r>
  <r>
    <s v="US-2017-111423"/>
    <x v="301"/>
    <d v="2017-08-19T00:00:00"/>
    <x v="2"/>
    <s v="EH-13765"/>
    <s v="Edward Hooks"/>
    <x v="1"/>
    <s v="United States"/>
    <x v="115"/>
    <x v="7"/>
    <x v="2"/>
    <s v="FUR-CH-10003981"/>
    <x v="0"/>
    <x v="1"/>
    <s v="Global Commerce Series Low-Back Swivel/Tilt Chairs"/>
    <n v="462.56400000000002"/>
    <n v="2"/>
    <n v="97.6524"/>
    <x v="3"/>
    <x v="10"/>
  </r>
  <r>
    <s v="CA-2017-161200"/>
    <x v="302"/>
    <d v="2017-08-10T00:00:00"/>
    <x v="0"/>
    <s v="SV-20365"/>
    <s v="Seth Vernon"/>
    <x v="0"/>
    <s v="United States"/>
    <x v="120"/>
    <x v="35"/>
    <x v="0"/>
    <s v="FUR-BO-10000468"/>
    <x v="0"/>
    <x v="0"/>
    <s v="O'Sullivan 2-Shelf Heavy-Duty Bookcases"/>
    <n v="145.74"/>
    <n v="3"/>
    <n v="23.3184"/>
    <x v="4"/>
    <x v="10"/>
  </r>
  <r>
    <s v="CA-2017-161200"/>
    <x v="302"/>
    <d v="2017-08-10T00:00:00"/>
    <x v="0"/>
    <s v="SV-20365"/>
    <s v="Seth Vernon"/>
    <x v="0"/>
    <s v="United States"/>
    <x v="120"/>
    <x v="35"/>
    <x v="0"/>
    <s v="FUR-FU-10001706"/>
    <x v="0"/>
    <x v="3"/>
    <s v="Longer-Life Soft White Bulbs"/>
    <n v="15.4"/>
    <n v="5"/>
    <n v="7.3920000000000003"/>
    <x v="4"/>
    <x v="10"/>
  </r>
  <r>
    <s v="CA-2015-141768"/>
    <x v="303"/>
    <d v="2015-05-27T00:00:00"/>
    <x v="0"/>
    <s v="NP-18685"/>
    <s v="Nora Pelletier"/>
    <x v="2"/>
    <s v="United States"/>
    <x v="28"/>
    <x v="2"/>
    <x v="1"/>
    <s v="FUR-FU-10002268"/>
    <x v="0"/>
    <x v="3"/>
    <s v="Ultra Door Push Plate"/>
    <n v="14.73"/>
    <n v="3"/>
    <n v="4.8609"/>
    <x v="3"/>
    <x v="7"/>
  </r>
  <r>
    <s v="CA-2016-112109"/>
    <x v="304"/>
    <d v="2016-07-12T00:00:00"/>
    <x v="1"/>
    <s v="JE-15715"/>
    <s v="Joe Elijah"/>
    <x v="0"/>
    <s v="United States"/>
    <x v="131"/>
    <x v="12"/>
    <x v="1"/>
    <s v="FUR-CH-10004287"/>
    <x v="0"/>
    <x v="1"/>
    <s v="SAFCO Arco Folding Chair"/>
    <n v="662.88"/>
    <n v="3"/>
    <n v="74.573999999999998"/>
    <x v="4"/>
    <x v="3"/>
  </r>
  <r>
    <s v="CA-2017-157987"/>
    <x v="113"/>
    <d v="2017-09-06T00:00:00"/>
    <x v="1"/>
    <s v="AC-10615"/>
    <s v="Ann Chong"/>
    <x v="1"/>
    <s v="United States"/>
    <x v="13"/>
    <x v="7"/>
    <x v="2"/>
    <s v="FUR-FU-10001196"/>
    <x v="0"/>
    <x v="3"/>
    <s v="DAX Cubicle Frames - 8x10"/>
    <n v="11.54"/>
    <n v="2"/>
    <n v="3.4620000000000002"/>
    <x v="4"/>
    <x v="4"/>
  </r>
  <r>
    <s v="CA-2017-157987"/>
    <x v="113"/>
    <d v="2017-09-06T00:00:00"/>
    <x v="1"/>
    <s v="AC-10615"/>
    <s v="Ann Chong"/>
    <x v="1"/>
    <s v="United States"/>
    <x v="13"/>
    <x v="7"/>
    <x v="2"/>
    <s v="FUR-TA-10001889"/>
    <x v="0"/>
    <x v="2"/>
    <s v="Bush Advantage Collection Racetrack Conference Table"/>
    <n v="254.52600000000001"/>
    <n v="1"/>
    <n v="-93.3262"/>
    <x v="4"/>
    <x v="4"/>
  </r>
  <r>
    <s v="CA-2017-157987"/>
    <x v="113"/>
    <d v="2017-09-06T00:00:00"/>
    <x v="1"/>
    <s v="AC-10615"/>
    <s v="Ann Chong"/>
    <x v="1"/>
    <s v="United States"/>
    <x v="13"/>
    <x v="7"/>
    <x v="2"/>
    <s v="FUR-CH-10003379"/>
    <x v="0"/>
    <x v="1"/>
    <s v="Global Commerce Series High-Back Swivel/Tilt Chairs"/>
    <n v="1282.4100000000001"/>
    <n v="5"/>
    <n v="213.73500000000001"/>
    <x v="4"/>
    <x v="4"/>
  </r>
  <r>
    <s v="CA-2014-110408"/>
    <x v="305"/>
    <d v="2014-10-20T00:00:00"/>
    <x v="0"/>
    <s v="AS-10225"/>
    <s v="Alan Schoenberger"/>
    <x v="1"/>
    <s v="United States"/>
    <x v="132"/>
    <x v="33"/>
    <x v="0"/>
    <s v="FUR-CH-10003774"/>
    <x v="0"/>
    <x v="1"/>
    <s v="Global Wood Trimmed Manager's Task Chair, Khaki"/>
    <n v="545.88"/>
    <n v="6"/>
    <n v="70.964399999999998"/>
    <x v="3"/>
    <x v="1"/>
  </r>
  <r>
    <s v="CA-2016-112669"/>
    <x v="65"/>
    <d v="2016-04-14T00:00:00"/>
    <x v="3"/>
    <s v="KT-16465"/>
    <s v="Kean Takahito"/>
    <x v="0"/>
    <s v="United States"/>
    <x v="110"/>
    <x v="22"/>
    <x v="1"/>
    <s v="FUR-CH-10004086"/>
    <x v="0"/>
    <x v="1"/>
    <s v="Hon 4070 Series Pagoda Armless Upholstered Stacking Chairs"/>
    <n v="933.53599999999994"/>
    <n v="4"/>
    <n v="105.0228"/>
    <x v="7"/>
    <x v="6"/>
  </r>
  <r>
    <s v="CA-2014-164721"/>
    <x v="306"/>
    <d v="2014-11-27T00:00:00"/>
    <x v="0"/>
    <s v="LW-16825"/>
    <s v="Laurel Workman"/>
    <x v="1"/>
    <s v="United States"/>
    <x v="133"/>
    <x v="2"/>
    <x v="1"/>
    <s v="FUR-FU-10001940"/>
    <x v="0"/>
    <x v="3"/>
    <s v="Staple-based wall hangings"/>
    <n v="23.88"/>
    <n v="3"/>
    <n v="10.507199999999999"/>
    <x v="3"/>
    <x v="0"/>
  </r>
  <r>
    <s v="CA-2015-127509"/>
    <x v="307"/>
    <d v="2015-11-13T00:00:00"/>
    <x v="1"/>
    <s v="AS-10090"/>
    <s v="Adam Shillingsburg"/>
    <x v="0"/>
    <s v="United States"/>
    <x v="76"/>
    <x v="23"/>
    <x v="3"/>
    <s v="FUR-TA-10002855"/>
    <x v="0"/>
    <x v="2"/>
    <s v="Bevis Round Conference Table Top &amp; Single Column Base"/>
    <n v="1024.3800000000001"/>
    <n v="7"/>
    <n v="215.1198"/>
    <x v="4"/>
    <x v="0"/>
  </r>
  <r>
    <s v="US-2017-147221"/>
    <x v="308"/>
    <d v="2017-12-04T00:00:00"/>
    <x v="0"/>
    <s v="JS-16030"/>
    <s v="Joy Smith"/>
    <x v="0"/>
    <s v="United States"/>
    <x v="6"/>
    <x v="5"/>
    <x v="3"/>
    <s v="FUR-FU-10004020"/>
    <x v="0"/>
    <x v="3"/>
    <s v="Advantus Panel Wall Acrylic Frame"/>
    <n v="8.7520000000000007"/>
    <n v="4"/>
    <n v="-3.7195999999999998"/>
    <x v="3"/>
    <x v="5"/>
  </r>
  <r>
    <s v="CA-2017-163510"/>
    <x v="19"/>
    <d v="2017-12-28T00:00:00"/>
    <x v="0"/>
    <s v="JW-15955"/>
    <s v="Joni Wasserman"/>
    <x v="0"/>
    <s v="United States"/>
    <x v="74"/>
    <x v="0"/>
    <x v="0"/>
    <s v="FUR-CH-10001146"/>
    <x v="0"/>
    <x v="1"/>
    <s v="Global Value Mid-Back Manager's Chair, Gray"/>
    <n v="304.45"/>
    <n v="5"/>
    <n v="76.112499999999997"/>
    <x v="0"/>
    <x v="5"/>
  </r>
  <r>
    <s v="CA-2017-165386"/>
    <x v="309"/>
    <d v="2017-08-04T00:00:00"/>
    <x v="2"/>
    <s v="CM-12190"/>
    <s v="Charlotte Melton"/>
    <x v="0"/>
    <s v="United States"/>
    <x v="9"/>
    <x v="8"/>
    <x v="3"/>
    <s v="FUR-BO-10003034"/>
    <x v="0"/>
    <x v="0"/>
    <s v="O'Sullivan Elevations Bookcase, Cherry Finish"/>
    <n v="183.37200000000001"/>
    <n v="2"/>
    <n v="-36.674399999999999"/>
    <x v="5"/>
    <x v="10"/>
  </r>
  <r>
    <s v="CA-2016-145905"/>
    <x v="126"/>
    <d v="2016-09-23T00:00:00"/>
    <x v="1"/>
    <s v="AM-10705"/>
    <s v="Anne McFarland"/>
    <x v="0"/>
    <s v="United States"/>
    <x v="83"/>
    <x v="33"/>
    <x v="0"/>
    <s v="FUR-CH-10001854"/>
    <x v="0"/>
    <x v="1"/>
    <s v="Office Star - Professional Matrix Back Chair with 2-to-1 Synchro Tilt and Mesh Fabric Seat"/>
    <n v="350.98"/>
    <n v="1"/>
    <n v="84.235200000000006"/>
    <x v="2"/>
    <x v="4"/>
  </r>
  <r>
    <s v="CA-2016-168354"/>
    <x v="107"/>
    <d v="2016-09-21T00:00:00"/>
    <x v="2"/>
    <s v="RH-19510"/>
    <s v="Rick Huthwaite"/>
    <x v="2"/>
    <s v="United States"/>
    <x v="134"/>
    <x v="38"/>
    <x v="2"/>
    <s v="FUR-CH-10004675"/>
    <x v="0"/>
    <x v="1"/>
    <s v="Lifetime Advantage Folding Chairs, 4/Carton"/>
    <n v="872.32"/>
    <n v="4"/>
    <n v="244.24959999999999"/>
    <x v="3"/>
    <x v="4"/>
  </r>
  <r>
    <s v="CA-2015-114237"/>
    <x v="310"/>
    <d v="2015-03-15T00:00:00"/>
    <x v="2"/>
    <s v="MC-17275"/>
    <s v="Marc Crier"/>
    <x v="0"/>
    <s v="United States"/>
    <x v="15"/>
    <x v="13"/>
    <x v="1"/>
    <s v="FUR-BO-10004409"/>
    <x v="0"/>
    <x v="0"/>
    <s v="Safco Value Mate Series Steel Bookcases, Baked Enamel Finish on Steel, Gray"/>
    <n v="141.96"/>
    <n v="2"/>
    <n v="39.748800000000003"/>
    <x v="3"/>
    <x v="9"/>
  </r>
  <r>
    <s v="CA-2017-162481"/>
    <x v="58"/>
    <d v="2017-09-29T00:00:00"/>
    <x v="1"/>
    <s v="CT-11995"/>
    <s v="Carol Triggs"/>
    <x v="0"/>
    <s v="United States"/>
    <x v="77"/>
    <x v="11"/>
    <x v="3"/>
    <s v="FUR-CH-10003061"/>
    <x v="0"/>
    <x v="1"/>
    <s v="Global Leather Task Chair, Black"/>
    <n v="269.97000000000003"/>
    <n v="3"/>
    <n v="51.2943"/>
    <x v="4"/>
    <x v="4"/>
  </r>
  <r>
    <s v="CA-2015-122287"/>
    <x v="311"/>
    <d v="2015-06-23T00:00:00"/>
    <x v="1"/>
    <s v="SN-20560"/>
    <s v="Skye Norling"/>
    <x v="2"/>
    <s v="United States"/>
    <x v="117"/>
    <x v="22"/>
    <x v="1"/>
    <s v="FUR-FU-10004973"/>
    <x v="0"/>
    <x v="3"/>
    <s v="Flat Face Poster Frame"/>
    <n v="75.36"/>
    <n v="5"/>
    <n v="20.724"/>
    <x v="2"/>
    <x v="2"/>
  </r>
  <r>
    <s v="CA-2015-142237"/>
    <x v="312"/>
    <d v="2015-07-13T00:00:00"/>
    <x v="2"/>
    <s v="CK-12595"/>
    <s v="Clytie Kelty"/>
    <x v="0"/>
    <s v="United States"/>
    <x v="3"/>
    <x v="3"/>
    <x v="2"/>
    <s v="FUR-FU-10004848"/>
    <x v="0"/>
    <x v="3"/>
    <s v="Howard Miller 13-3/4&quot; Diameter Brushed Chrome Round Wall Clock"/>
    <n v="289.8"/>
    <n v="7"/>
    <n v="36.225000000000001"/>
    <x v="3"/>
    <x v="3"/>
  </r>
  <r>
    <s v="CA-2015-142237"/>
    <x v="312"/>
    <d v="2015-07-13T00:00:00"/>
    <x v="2"/>
    <s v="CK-12595"/>
    <s v="Clytie Kelty"/>
    <x v="0"/>
    <s v="United States"/>
    <x v="3"/>
    <x v="3"/>
    <x v="2"/>
    <s v="FUR-CH-10003833"/>
    <x v="0"/>
    <x v="1"/>
    <s v="Novimex Fabric Task Chair"/>
    <n v="341.488"/>
    <n v="8"/>
    <n v="-73.176000000000002"/>
    <x v="3"/>
    <x v="3"/>
  </r>
  <r>
    <s v="CA-2015-142237"/>
    <x v="312"/>
    <d v="2015-07-13T00:00:00"/>
    <x v="2"/>
    <s v="CK-12595"/>
    <s v="Clytie Kelty"/>
    <x v="0"/>
    <s v="United States"/>
    <x v="3"/>
    <x v="3"/>
    <x v="2"/>
    <s v="FUR-FU-10003142"/>
    <x v="0"/>
    <x v="3"/>
    <s v="Master Big Foot Doorstop, Beige"/>
    <n v="25.344000000000001"/>
    <n v="6"/>
    <n v="3.4847999999999999"/>
    <x v="3"/>
    <x v="3"/>
  </r>
  <r>
    <s v="CA-2016-136434"/>
    <x v="193"/>
    <d v="2016-12-07T00:00:00"/>
    <x v="1"/>
    <s v="RD-19480"/>
    <s v="Rick Duston"/>
    <x v="0"/>
    <s v="United States"/>
    <x v="52"/>
    <x v="6"/>
    <x v="3"/>
    <s v="FUR-FU-10001196"/>
    <x v="0"/>
    <x v="3"/>
    <s v="DAX Cubicle Frames - 8x10"/>
    <n v="17.309999999999999"/>
    <n v="3"/>
    <n v="5.1929999999999996"/>
    <x v="6"/>
    <x v="5"/>
  </r>
  <r>
    <s v="CA-2017-120376"/>
    <x v="313"/>
    <d v="2017-12-25T00:00:00"/>
    <x v="2"/>
    <s v="TP-21130"/>
    <s v="Theone Pippenger"/>
    <x v="0"/>
    <s v="United States"/>
    <x v="25"/>
    <x v="17"/>
    <x v="3"/>
    <s v="FUR-CH-10002335"/>
    <x v="0"/>
    <x v="1"/>
    <s v="Hon GuestStacker Chair"/>
    <n v="1586.69"/>
    <n v="7"/>
    <n v="412.5394"/>
    <x v="0"/>
    <x v="5"/>
  </r>
  <r>
    <s v="CA-2017-120376"/>
    <x v="313"/>
    <d v="2017-12-25T00:00:00"/>
    <x v="2"/>
    <s v="TP-21130"/>
    <s v="Theone Pippenger"/>
    <x v="0"/>
    <s v="United States"/>
    <x v="25"/>
    <x v="17"/>
    <x v="3"/>
    <s v="FUR-TA-10004534"/>
    <x v="0"/>
    <x v="2"/>
    <s v="Bevis 44 x 96 Conference Tables"/>
    <n v="411.8"/>
    <n v="2"/>
    <n v="70.006"/>
    <x v="0"/>
    <x v="5"/>
  </r>
  <r>
    <s v="CA-2014-106439"/>
    <x v="314"/>
    <d v="2014-11-04T00:00:00"/>
    <x v="1"/>
    <s v="GG-14650"/>
    <s v="Greg Guthrie"/>
    <x v="1"/>
    <s v="United States"/>
    <x v="2"/>
    <x v="2"/>
    <x v="1"/>
    <s v="FUR-CH-10003833"/>
    <x v="0"/>
    <x v="1"/>
    <s v="Novimex Fabric Task Chair"/>
    <n v="146.352"/>
    <n v="3"/>
    <n v="-9.1470000000000002"/>
    <x v="4"/>
    <x v="1"/>
  </r>
  <r>
    <s v="CA-2015-133452"/>
    <x v="315"/>
    <d v="2015-04-19T00:00:00"/>
    <x v="1"/>
    <s v="ZC-21910"/>
    <s v="Zuschuss Carroll"/>
    <x v="0"/>
    <s v="United States"/>
    <x v="135"/>
    <x v="2"/>
    <x v="1"/>
    <s v="FUR-TA-10003954"/>
    <x v="0"/>
    <x v="2"/>
    <s v="Hon 94000 Series Round Tables"/>
    <n v="710.83199999999999"/>
    <n v="3"/>
    <n v="-97.739400000000003"/>
    <x v="6"/>
    <x v="6"/>
  </r>
  <r>
    <s v="US-2017-110996"/>
    <x v="93"/>
    <d v="2017-11-25T00:00:00"/>
    <x v="1"/>
    <s v="KA-16525"/>
    <s v="Kelly Andreada"/>
    <x v="0"/>
    <s v="United States"/>
    <x v="136"/>
    <x v="2"/>
    <x v="1"/>
    <s v="FUR-CH-10003956"/>
    <x v="0"/>
    <x v="1"/>
    <s v="Novimex High-Tech Fabric Mesh Task Chair"/>
    <n v="283.92"/>
    <n v="5"/>
    <n v="-46.137"/>
    <x v="2"/>
    <x v="0"/>
  </r>
  <r>
    <s v="CA-2014-131051"/>
    <x v="280"/>
    <d v="2014-12-05T00:00:00"/>
    <x v="1"/>
    <s v="TR-21325"/>
    <s v="Toby Ritter"/>
    <x v="0"/>
    <s v="United States"/>
    <x v="28"/>
    <x v="2"/>
    <x v="1"/>
    <s v="FUR-FU-10001861"/>
    <x v="0"/>
    <x v="3"/>
    <s v="Floodlight Indoor Halogen Bulbs, 1 Bulb per Pack, 60 Watts"/>
    <n v="58.2"/>
    <n v="3"/>
    <n v="28.518000000000001"/>
    <x v="4"/>
    <x v="5"/>
  </r>
  <r>
    <s v="CA-2015-120103"/>
    <x v="37"/>
    <d v="2015-12-29T00:00:00"/>
    <x v="1"/>
    <s v="MS-17365"/>
    <s v="Maribeth Schnelling"/>
    <x v="0"/>
    <s v="United States"/>
    <x v="43"/>
    <x v="22"/>
    <x v="1"/>
    <s v="FUR-FU-10002885"/>
    <x v="0"/>
    <x v="3"/>
    <s v="Magna Visual Magnetic Picture Hangers"/>
    <n v="7.7119999999999997"/>
    <n v="2"/>
    <n v="1.7352000000000001"/>
    <x v="2"/>
    <x v="5"/>
  </r>
  <r>
    <s v="CA-2017-166142"/>
    <x v="316"/>
    <d v="2017-07-19T00:00:00"/>
    <x v="1"/>
    <s v="MM-17260"/>
    <s v="Magdelene Morse"/>
    <x v="0"/>
    <s v="United States"/>
    <x v="16"/>
    <x v="14"/>
    <x v="2"/>
    <s v="FUR-TA-10004607"/>
    <x v="0"/>
    <x v="2"/>
    <s v="Hon 2111 Invitation Series Straight Table"/>
    <n v="310.44299999999998"/>
    <n v="3"/>
    <n v="-48.783900000000003"/>
    <x v="4"/>
    <x v="3"/>
  </r>
  <r>
    <s v="CA-2014-145926"/>
    <x v="317"/>
    <d v="2014-11-21T00:00:00"/>
    <x v="1"/>
    <s v="MP-17470"/>
    <s v="Mark Packer"/>
    <x v="2"/>
    <s v="United States"/>
    <x v="137"/>
    <x v="11"/>
    <x v="3"/>
    <s v="FUR-CH-10004289"/>
    <x v="0"/>
    <x v="1"/>
    <s v="Global Super Steno Chair"/>
    <n v="479.9"/>
    <n v="5"/>
    <n v="81.582999999999998"/>
    <x v="4"/>
    <x v="0"/>
  </r>
  <r>
    <s v="CA-2014-123295"/>
    <x v="318"/>
    <d v="2014-07-18T00:00:00"/>
    <x v="3"/>
    <s v="AH-10120"/>
    <s v="Adrian Hane"/>
    <x v="2"/>
    <s v="United States"/>
    <x v="104"/>
    <x v="22"/>
    <x v="1"/>
    <s v="FUR-CH-10002372"/>
    <x v="0"/>
    <x v="1"/>
    <s v="Office Star - Ergonomically Designed Knee Chair"/>
    <n v="259.13600000000002"/>
    <n v="4"/>
    <n v="-25.913599999999999"/>
    <x v="7"/>
    <x v="3"/>
  </r>
  <r>
    <s v="CA-2015-164882"/>
    <x v="319"/>
    <d v="2015-10-31T00:00:00"/>
    <x v="3"/>
    <s v="SG-20080"/>
    <s v="Sandra Glassco"/>
    <x v="0"/>
    <s v="United States"/>
    <x v="138"/>
    <x v="2"/>
    <x v="1"/>
    <s v="FUR-CH-10004218"/>
    <x v="0"/>
    <x v="1"/>
    <s v="Global Fabric Manager's Chair, Dark Gray"/>
    <n v="323.13600000000002"/>
    <n v="4"/>
    <n v="20.196000000000002"/>
    <x v="7"/>
    <x v="1"/>
  </r>
  <r>
    <s v="CA-2015-164882"/>
    <x v="319"/>
    <d v="2015-10-31T00:00:00"/>
    <x v="3"/>
    <s v="SG-20080"/>
    <s v="Sandra Glassco"/>
    <x v="0"/>
    <s v="United States"/>
    <x v="138"/>
    <x v="2"/>
    <x v="1"/>
    <s v="FUR-BO-10002213"/>
    <x v="0"/>
    <x v="0"/>
    <s v="DMI Eclipse Executive Suite Bookcases"/>
    <n v="425.83300000000003"/>
    <n v="1"/>
    <n v="20.039200000000001"/>
    <x v="7"/>
    <x v="1"/>
  </r>
  <r>
    <s v="CA-2015-159786"/>
    <x v="33"/>
    <d v="2015-10-17T00:00:00"/>
    <x v="0"/>
    <s v="RK-19300"/>
    <s v="Ralph Kennedy"/>
    <x v="0"/>
    <s v="United States"/>
    <x v="77"/>
    <x v="7"/>
    <x v="2"/>
    <s v="FUR-TA-10001307"/>
    <x v="0"/>
    <x v="2"/>
    <s v="SAFCO PlanMaster Heigh-Adjustable Drafting Table Base, 43w x 30d x 30-37h, Black"/>
    <n v="209.67"/>
    <n v="1"/>
    <n v="-13.978"/>
    <x v="2"/>
    <x v="1"/>
  </r>
  <r>
    <s v="CA-2017-158246"/>
    <x v="17"/>
    <d v="2017-11-11T00:00:00"/>
    <x v="2"/>
    <s v="JB-15400"/>
    <s v="Jennifer Braxton"/>
    <x v="1"/>
    <s v="United States"/>
    <x v="139"/>
    <x v="2"/>
    <x v="1"/>
    <s v="FUR-CH-10003061"/>
    <x v="0"/>
    <x v="1"/>
    <s v="Global Leather Task Chair, Black"/>
    <n v="215.976"/>
    <n v="3"/>
    <n v="-2.6997"/>
    <x v="3"/>
    <x v="0"/>
  </r>
  <r>
    <s v="CA-2017-167381"/>
    <x v="320"/>
    <d v="2017-09-24T00:00:00"/>
    <x v="0"/>
    <s v="EH-14005"/>
    <s v="Erica Hernandez"/>
    <x v="2"/>
    <s v="United States"/>
    <x v="140"/>
    <x v="17"/>
    <x v="3"/>
    <s v="FUR-BO-10001972"/>
    <x v="0"/>
    <x v="0"/>
    <s v="O'Sullivan 4-Shelf Bookcase in Odessa Pine"/>
    <n v="241.96"/>
    <n v="2"/>
    <n v="41.133200000000002"/>
    <x v="3"/>
    <x v="4"/>
  </r>
  <r>
    <s v="CA-2015-134859"/>
    <x v="103"/>
    <d v="2015-10-09T00:00:00"/>
    <x v="1"/>
    <s v="JK-16120"/>
    <s v="Julie Kriz"/>
    <x v="2"/>
    <s v="United States"/>
    <x v="3"/>
    <x v="3"/>
    <x v="2"/>
    <s v="FUR-FU-10003623"/>
    <x v="0"/>
    <x v="3"/>
    <s v="DataProducts Ampli Magnifier Task Lamp, Black,"/>
    <n v="64.944000000000003"/>
    <n v="3"/>
    <n v="6.4943999999999997"/>
    <x v="2"/>
    <x v="1"/>
  </r>
  <r>
    <s v="US-2014-114188"/>
    <x v="321"/>
    <d v="2014-05-22T00:00:00"/>
    <x v="0"/>
    <s v="RF-19345"/>
    <s v="Randy Ferguson"/>
    <x v="1"/>
    <s v="United States"/>
    <x v="63"/>
    <x v="28"/>
    <x v="2"/>
    <s v="FUR-FU-10000076"/>
    <x v="0"/>
    <x v="3"/>
    <s v="24-Hour Round Wall Clock"/>
    <n v="139.86000000000001"/>
    <n v="7"/>
    <n v="60.139800000000001"/>
    <x v="3"/>
    <x v="7"/>
  </r>
  <r>
    <s v="CA-2015-156377"/>
    <x v="322"/>
    <d v="2016-01-05T00:00:00"/>
    <x v="1"/>
    <s v="TB-21625"/>
    <s v="Trudy Brown"/>
    <x v="0"/>
    <s v="United States"/>
    <x v="141"/>
    <x v="5"/>
    <x v="3"/>
    <s v="FUR-FU-10002364"/>
    <x v="0"/>
    <x v="3"/>
    <s v="Eldon Expressions Wood Desk Accessories, Oak"/>
    <n v="14.76"/>
    <n v="5"/>
    <n v="-11.439"/>
    <x v="2"/>
    <x v="5"/>
  </r>
  <r>
    <s v="CA-2014-159520"/>
    <x v="323"/>
    <d v="2014-06-11T00:00:00"/>
    <x v="1"/>
    <s v="GT-14635"/>
    <s v="Grant Thornton"/>
    <x v="1"/>
    <s v="United States"/>
    <x v="62"/>
    <x v="7"/>
    <x v="2"/>
    <s v="FUR-TA-10003238"/>
    <x v="0"/>
    <x v="2"/>
    <s v="Chromcraft Bull-Nose Wood 48&quot; x 96&quot; Rectangular Conference Tables"/>
    <n v="991.76400000000001"/>
    <n v="3"/>
    <n v="-347.11739999999998"/>
    <x v="2"/>
    <x v="2"/>
  </r>
  <r>
    <s v="US-2016-152051"/>
    <x v="324"/>
    <d v="2016-06-29T00:00:00"/>
    <x v="1"/>
    <s v="TS-21160"/>
    <s v="Theresa Swint"/>
    <x v="1"/>
    <s v="United States"/>
    <x v="142"/>
    <x v="3"/>
    <x v="2"/>
    <s v="FUR-CH-10002965"/>
    <x v="0"/>
    <x v="1"/>
    <s v="Global Leather Highback Executive Chair with Pneumatic Height Adjustment, Black"/>
    <n v="422.05799999999999"/>
    <n v="3"/>
    <n v="-18.088200000000001"/>
    <x v="4"/>
    <x v="2"/>
  </r>
  <r>
    <s v="CA-2014-141607"/>
    <x v="202"/>
    <d v="2014-12-17T00:00:00"/>
    <x v="1"/>
    <s v="WB-21850"/>
    <s v="William Brown"/>
    <x v="0"/>
    <s v="United States"/>
    <x v="41"/>
    <x v="2"/>
    <x v="1"/>
    <s v="FUR-FU-10003975"/>
    <x v="0"/>
    <x v="3"/>
    <s v="Eldon Advantage Chair Mats for Low to Medium Pile Carpets"/>
    <n v="43.31"/>
    <n v="1"/>
    <n v="4.3310000000000004"/>
    <x v="2"/>
    <x v="5"/>
  </r>
  <r>
    <s v="US-2017-139969"/>
    <x v="49"/>
    <d v="2017-11-26T00:00:00"/>
    <x v="1"/>
    <s v="AF-10870"/>
    <s v="Art Ferguson"/>
    <x v="0"/>
    <s v="United States"/>
    <x v="143"/>
    <x v="5"/>
    <x v="3"/>
    <s v="FUR-CH-10001973"/>
    <x v="0"/>
    <x v="1"/>
    <s v="Office Star Flex Back Scooter Chair with White Frame"/>
    <n v="233.05799999999999"/>
    <n v="3"/>
    <n v="-53.270400000000002"/>
    <x v="1"/>
    <x v="0"/>
  </r>
  <r>
    <s v="US-2016-120460"/>
    <x v="325"/>
    <d v="2016-05-05T00:00:00"/>
    <x v="1"/>
    <s v="BF-11170"/>
    <s v="Ben Ferrer"/>
    <x v="2"/>
    <s v="United States"/>
    <x v="144"/>
    <x v="5"/>
    <x v="3"/>
    <s v="FUR-FU-10004973"/>
    <x v="0"/>
    <x v="3"/>
    <s v="Flat Face Poster Frame"/>
    <n v="22.608000000000001"/>
    <n v="3"/>
    <n v="-10.1736"/>
    <x v="2"/>
    <x v="6"/>
  </r>
  <r>
    <s v="CA-2016-141019"/>
    <x v="326"/>
    <d v="2016-05-14T00:00:00"/>
    <x v="3"/>
    <s v="LH-17155"/>
    <s v="Logan Haushalter"/>
    <x v="0"/>
    <s v="United States"/>
    <x v="145"/>
    <x v="15"/>
    <x v="2"/>
    <s v="FUR-FU-10002937"/>
    <x v="0"/>
    <x v="3"/>
    <s v="GE 48&quot; Fluorescent Tube, Cool White Energy Saver, 34 Watts, 30/Box"/>
    <n v="79.384"/>
    <n v="1"/>
    <n v="29.768999999999998"/>
    <x v="7"/>
    <x v="7"/>
  </r>
  <r>
    <s v="CA-2016-154018"/>
    <x v="25"/>
    <d v="2016-10-19T00:00:00"/>
    <x v="1"/>
    <s v="HA-14920"/>
    <s v="Helen Andreada"/>
    <x v="0"/>
    <s v="United States"/>
    <x v="146"/>
    <x v="5"/>
    <x v="3"/>
    <s v="FUR-FU-10003394"/>
    <x v="0"/>
    <x v="3"/>
    <s v="Tenex &quot;The Solids&quot; Textured Chair Mats"/>
    <n v="139.91999999999999"/>
    <n v="5"/>
    <n v="-150.41399999999999"/>
    <x v="6"/>
    <x v="1"/>
  </r>
  <r>
    <s v="US-2017-137491"/>
    <x v="49"/>
    <d v="2017-11-25T00:00:00"/>
    <x v="1"/>
    <s v="LC-16930"/>
    <s v="Linda Cazamias"/>
    <x v="1"/>
    <s v="United States"/>
    <x v="147"/>
    <x v="5"/>
    <x v="3"/>
    <s v="FUR-CH-10004675"/>
    <x v="0"/>
    <x v="1"/>
    <s v="Lifetime Advantage Folding Chairs, 4/Carton"/>
    <n v="305.31200000000001"/>
    <n v="2"/>
    <n v="-8.7232000000000003"/>
    <x v="6"/>
    <x v="0"/>
  </r>
  <r>
    <s v="CA-2016-128818"/>
    <x v="327"/>
    <d v="2016-05-11T00:00:00"/>
    <x v="1"/>
    <s v="CJ-12010"/>
    <s v="Caroline Jumper"/>
    <x v="0"/>
    <s v="United States"/>
    <x v="13"/>
    <x v="7"/>
    <x v="2"/>
    <s v="FUR-CH-10002084"/>
    <x v="0"/>
    <x v="1"/>
    <s v="Hon Mobius Operator's Chair"/>
    <n v="442.76400000000001"/>
    <n v="4"/>
    <n v="59.035200000000003"/>
    <x v="4"/>
    <x v="7"/>
  </r>
  <r>
    <s v="CA-2016-128818"/>
    <x v="327"/>
    <d v="2016-05-11T00:00:00"/>
    <x v="1"/>
    <s v="CJ-12010"/>
    <s v="Caroline Jumper"/>
    <x v="0"/>
    <s v="United States"/>
    <x v="13"/>
    <x v="7"/>
    <x v="2"/>
    <s v="FUR-FU-10001940"/>
    <x v="0"/>
    <x v="3"/>
    <s v="Staple-based wall hangings"/>
    <n v="63.68"/>
    <n v="8"/>
    <n v="28.019200000000001"/>
    <x v="4"/>
    <x v="7"/>
  </r>
  <r>
    <s v="CA-2017-143063"/>
    <x v="328"/>
    <d v="2017-08-15T00:00:00"/>
    <x v="1"/>
    <s v="IL-15100"/>
    <s v="Ivan Liston"/>
    <x v="0"/>
    <s v="United States"/>
    <x v="29"/>
    <x v="6"/>
    <x v="3"/>
    <s v="FUR-FU-10003708"/>
    <x v="0"/>
    <x v="3"/>
    <s v="Tenex Traditional Chairmats for Medium Pile Carpet, Standard Lip, 36&quot; x 48&quot;"/>
    <n v="121.3"/>
    <n v="2"/>
    <n v="25.472999999999999"/>
    <x v="2"/>
    <x v="10"/>
  </r>
  <r>
    <s v="US-2014-165659"/>
    <x v="42"/>
    <d v="2014-06-06T00:00:00"/>
    <x v="1"/>
    <s v="LT-17110"/>
    <s v="Liz Thompson"/>
    <x v="0"/>
    <s v="United States"/>
    <x v="148"/>
    <x v="31"/>
    <x v="0"/>
    <s v="FUR-FU-10001935"/>
    <x v="0"/>
    <x v="3"/>
    <s v="3M Hangers With Command Adhesive"/>
    <n v="22.2"/>
    <n v="6"/>
    <n v="9.1020000000000003"/>
    <x v="2"/>
    <x v="2"/>
  </r>
  <r>
    <s v="CA-2015-138002"/>
    <x v="329"/>
    <d v="2015-09-12T00:00:00"/>
    <x v="1"/>
    <s v="BT-11305"/>
    <s v="Beth Thompson"/>
    <x v="2"/>
    <s v="United States"/>
    <x v="15"/>
    <x v="13"/>
    <x v="1"/>
    <s v="FUR-FU-10004748"/>
    <x v="0"/>
    <x v="3"/>
    <s v="Howard Miller 16&quot; Diameter Gallery Wall Clock"/>
    <n v="191.82"/>
    <n v="3"/>
    <n v="74.809799999999996"/>
    <x v="6"/>
    <x v="4"/>
  </r>
  <r>
    <s v="CA-2015-128860"/>
    <x v="330"/>
    <d v="2015-07-05T00:00:00"/>
    <x v="1"/>
    <s v="SC-20725"/>
    <s v="Steven Cartwright"/>
    <x v="0"/>
    <s v="United States"/>
    <x v="68"/>
    <x v="3"/>
    <x v="2"/>
    <s v="FUR-FU-10001473"/>
    <x v="0"/>
    <x v="3"/>
    <s v="Eldon Executive Woodline II Desk Accessories, Mahogany"/>
    <n v="20.103999999999999"/>
    <n v="1"/>
    <n v="1.7591000000000001"/>
    <x v="6"/>
    <x v="2"/>
  </r>
  <r>
    <s v="CA-2017-107874"/>
    <x v="295"/>
    <d v="2017-11-25T00:00:00"/>
    <x v="1"/>
    <s v="SW-20275"/>
    <s v="Scott Williamson"/>
    <x v="0"/>
    <s v="United States"/>
    <x v="13"/>
    <x v="7"/>
    <x v="2"/>
    <s v="FUR-FU-10003535"/>
    <x v="0"/>
    <x v="3"/>
    <s v="Howard Miller Distant Time Traveler Alarm Clock"/>
    <n v="27.42"/>
    <n v="1"/>
    <n v="11.2422"/>
    <x v="4"/>
    <x v="0"/>
  </r>
  <r>
    <s v="CA-2017-129378"/>
    <x v="95"/>
    <d v="2017-10-02T00:00:00"/>
    <x v="2"/>
    <s v="NS-18505"/>
    <s v="Neola Schneider"/>
    <x v="0"/>
    <s v="United States"/>
    <x v="124"/>
    <x v="2"/>
    <x v="1"/>
    <s v="FUR-CH-10000553"/>
    <x v="0"/>
    <x v="1"/>
    <s v="Metal Folding Chairs, Beige, 4/Carton"/>
    <n v="108.608"/>
    <n v="4"/>
    <n v="9.5031999999999996"/>
    <x v="5"/>
    <x v="1"/>
  </r>
  <r>
    <s v="CA-2015-131884"/>
    <x v="248"/>
    <d v="2015-12-06T00:00:00"/>
    <x v="3"/>
    <s v="DK-13375"/>
    <s v="Dennis Kane"/>
    <x v="0"/>
    <s v="United States"/>
    <x v="149"/>
    <x v="15"/>
    <x v="2"/>
    <s v="FUR-CH-10004860"/>
    <x v="0"/>
    <x v="1"/>
    <s v="Global Low Back Tilter Chair"/>
    <n v="70.686000000000007"/>
    <n v="1"/>
    <n v="-24.235199999999999"/>
    <x v="7"/>
    <x v="5"/>
  </r>
  <r>
    <s v="CA-2016-106383"/>
    <x v="331"/>
    <d v="2016-03-21T00:00:00"/>
    <x v="0"/>
    <s v="BT-11440"/>
    <s v="Bobby Trafton"/>
    <x v="0"/>
    <s v="United States"/>
    <x v="150"/>
    <x v="12"/>
    <x v="1"/>
    <s v="FUR-BO-10002202"/>
    <x v="0"/>
    <x v="0"/>
    <s v="Atlantic Metals Mobile 2-Shelf Bookcases, Custom Colors"/>
    <n v="72.293999999999997"/>
    <n v="1"/>
    <n v="-98.8018"/>
    <x v="3"/>
    <x v="9"/>
  </r>
  <r>
    <s v="CA-2016-139157"/>
    <x v="180"/>
    <d v="2016-10-05T00:00:00"/>
    <x v="1"/>
    <s v="GM-14680"/>
    <s v="Greg Matthias"/>
    <x v="0"/>
    <s v="United States"/>
    <x v="13"/>
    <x v="7"/>
    <x v="2"/>
    <s v="FUR-TA-10003238"/>
    <x v="0"/>
    <x v="2"/>
    <s v="Chromcraft Bull-Nose Wood 48&quot; x 96&quot; Rectangular Conference Tables"/>
    <n v="330.58800000000002"/>
    <n v="1"/>
    <n v="-115.7058"/>
    <x v="4"/>
    <x v="1"/>
  </r>
  <r>
    <s v="CA-2017-157091"/>
    <x v="332"/>
    <d v="2017-07-01T00:00:00"/>
    <x v="1"/>
    <s v="DB-13405"/>
    <s v="Denny Blanton"/>
    <x v="0"/>
    <s v="United States"/>
    <x v="101"/>
    <x v="6"/>
    <x v="3"/>
    <s v="FUR-FU-10000293"/>
    <x v="0"/>
    <x v="3"/>
    <s v="Eldon Antistatic Chair Mats for Low to Medium Pile Carpets"/>
    <n v="526.45000000000005"/>
    <n v="5"/>
    <n v="31.587"/>
    <x v="2"/>
    <x v="2"/>
  </r>
  <r>
    <s v="CA-2017-166849"/>
    <x v="333"/>
    <d v="2017-04-26T00:00:00"/>
    <x v="1"/>
    <s v="SJ-20125"/>
    <s v="Sanjit Jacobs"/>
    <x v="2"/>
    <s v="United States"/>
    <x v="9"/>
    <x v="8"/>
    <x v="3"/>
    <s v="FUR-FU-10004597"/>
    <x v="0"/>
    <x v="3"/>
    <s v="Eldon Cleatmat Chair Mats for Medium Pile Carpets"/>
    <n v="44.4"/>
    <n v="2"/>
    <n v="-52.17"/>
    <x v="6"/>
    <x v="6"/>
  </r>
  <r>
    <s v="CA-2016-164091"/>
    <x v="334"/>
    <d v="2016-09-22T00:00:00"/>
    <x v="1"/>
    <s v="LA-16780"/>
    <s v="Laura Armstrong"/>
    <x v="1"/>
    <s v="United States"/>
    <x v="151"/>
    <x v="39"/>
    <x v="2"/>
    <s v="FUR-FU-10004952"/>
    <x v="0"/>
    <x v="3"/>
    <s v="C-Line Cubicle Keepers Polyproplyene Holder w/Velcro Back, 8-1/2x11, 25/Bx"/>
    <n v="109.48"/>
    <n v="2"/>
    <n v="33.938800000000001"/>
    <x v="2"/>
    <x v="4"/>
  </r>
  <r>
    <s v="CA-2017-105214"/>
    <x v="140"/>
    <d v="2017-06-19T00:00:00"/>
    <x v="2"/>
    <s v="TS-21610"/>
    <s v="Troy Staebel"/>
    <x v="0"/>
    <s v="United States"/>
    <x v="28"/>
    <x v="2"/>
    <x v="1"/>
    <s v="FUR-CH-10000015"/>
    <x v="0"/>
    <x v="1"/>
    <s v="Hon Multipurpose Stacking Arm Chairs"/>
    <n v="1212.96"/>
    <n v="7"/>
    <n v="90.971999999999994"/>
    <x v="0"/>
    <x v="2"/>
  </r>
  <r>
    <s v="CA-2017-122994"/>
    <x v="335"/>
    <d v="2017-02-09T00:00:00"/>
    <x v="2"/>
    <s v="MV-17485"/>
    <s v="Mark Van Huff"/>
    <x v="0"/>
    <s v="United States"/>
    <x v="58"/>
    <x v="25"/>
    <x v="0"/>
    <s v="FUR-BO-10004015"/>
    <x v="0"/>
    <x v="0"/>
    <s v="Bush Andora Bookcase, Maple/Graphite Gray Finish"/>
    <n v="359.97"/>
    <n v="3"/>
    <n v="79.193399999999997"/>
    <x v="0"/>
    <x v="11"/>
  </r>
  <r>
    <s v="CA-2015-142944"/>
    <x v="336"/>
    <d v="2015-03-11T00:00:00"/>
    <x v="1"/>
    <s v="JL-15850"/>
    <s v="John Lucas"/>
    <x v="0"/>
    <s v="United States"/>
    <x v="28"/>
    <x v="2"/>
    <x v="1"/>
    <s v="FUR-FU-10000308"/>
    <x v="0"/>
    <x v="3"/>
    <s v="Deflect-o Glass Clear Studded Chair Mats"/>
    <n v="435.26"/>
    <n v="7"/>
    <n v="95.757199999999997"/>
    <x v="2"/>
    <x v="9"/>
  </r>
  <r>
    <s v="CA-2014-157882"/>
    <x v="215"/>
    <d v="2014-10-08T00:00:00"/>
    <x v="0"/>
    <s v="AR-10405"/>
    <s v="Allen Rosenblatt"/>
    <x v="1"/>
    <s v="United States"/>
    <x v="2"/>
    <x v="2"/>
    <x v="1"/>
    <s v="FUR-TA-10001866"/>
    <x v="0"/>
    <x v="2"/>
    <s v="Bevis Round Conference Room Tables and Bases"/>
    <n v="143.43199999999999"/>
    <n v="1"/>
    <n v="3.5857999999999999"/>
    <x v="2"/>
    <x v="1"/>
  </r>
  <r>
    <s v="CA-2014-157882"/>
    <x v="215"/>
    <d v="2014-10-08T00:00:00"/>
    <x v="0"/>
    <s v="AR-10405"/>
    <s v="Allen Rosenblatt"/>
    <x v="1"/>
    <s v="United States"/>
    <x v="2"/>
    <x v="2"/>
    <x v="1"/>
    <s v="FUR-CH-10002774"/>
    <x v="0"/>
    <x v="1"/>
    <s v="Global Deluxe Stacking Chair, Gray"/>
    <n v="122.352"/>
    <n v="3"/>
    <n v="13.7646"/>
    <x v="2"/>
    <x v="1"/>
  </r>
  <r>
    <s v="CA-2014-104283"/>
    <x v="337"/>
    <d v="2014-07-01T00:00:00"/>
    <x v="1"/>
    <s v="LM-17065"/>
    <s v="Liz MacKendrick"/>
    <x v="0"/>
    <s v="United States"/>
    <x v="152"/>
    <x v="21"/>
    <x v="0"/>
    <s v="FUR-TA-10001039"/>
    <x v="0"/>
    <x v="2"/>
    <s v="KI Adjustable-Height Table"/>
    <n v="85.98"/>
    <n v="1"/>
    <n v="22.354800000000001"/>
    <x v="4"/>
    <x v="2"/>
  </r>
  <r>
    <s v="CA-2017-142622"/>
    <x v="242"/>
    <d v="2017-11-02T00:00:00"/>
    <x v="2"/>
    <s v="JK-15625"/>
    <s v="Jim Karlsson"/>
    <x v="0"/>
    <s v="United States"/>
    <x v="15"/>
    <x v="13"/>
    <x v="1"/>
    <s v="FUR-CH-10003833"/>
    <x v="0"/>
    <x v="1"/>
    <s v="Novimex Fabric Task Chair"/>
    <n v="97.567999999999998"/>
    <n v="2"/>
    <n v="-6.0979999999999999"/>
    <x v="0"/>
    <x v="1"/>
  </r>
  <r>
    <s v="CA-2017-142622"/>
    <x v="242"/>
    <d v="2017-11-02T00:00:00"/>
    <x v="2"/>
    <s v="JK-15625"/>
    <s v="Jim Karlsson"/>
    <x v="0"/>
    <s v="United States"/>
    <x v="15"/>
    <x v="13"/>
    <x v="1"/>
    <s v="FUR-CH-10004289"/>
    <x v="0"/>
    <x v="1"/>
    <s v="Global Super Steno Chair"/>
    <n v="614.27200000000005"/>
    <n v="8"/>
    <n v="-23.0352"/>
    <x v="0"/>
    <x v="1"/>
  </r>
  <r>
    <s v="CA-2017-142622"/>
    <x v="242"/>
    <d v="2017-11-02T00:00:00"/>
    <x v="2"/>
    <s v="JK-15625"/>
    <s v="Jim Karlsson"/>
    <x v="0"/>
    <s v="United States"/>
    <x v="15"/>
    <x v="13"/>
    <x v="1"/>
    <s v="FUR-BO-10004467"/>
    <x v="0"/>
    <x v="0"/>
    <s v="Bestar Classic Bookcase"/>
    <n v="199.98"/>
    <n v="2"/>
    <n v="37.996200000000002"/>
    <x v="0"/>
    <x v="1"/>
  </r>
  <r>
    <s v="CA-2017-115154"/>
    <x v="338"/>
    <d v="2017-01-11T00:00:00"/>
    <x v="2"/>
    <s v="RS-19420"/>
    <s v="Ricardo Sperren"/>
    <x v="1"/>
    <s v="United States"/>
    <x v="15"/>
    <x v="13"/>
    <x v="1"/>
    <s v="FUR-TA-10001950"/>
    <x v="0"/>
    <x v="2"/>
    <s v="Balt Solid Wood Round Tables"/>
    <n v="892.98"/>
    <n v="2"/>
    <n v="80.368200000000002"/>
    <x v="0"/>
    <x v="8"/>
  </r>
  <r>
    <s v="CA-2015-149342"/>
    <x v="339"/>
    <d v="2015-04-25T00:00:00"/>
    <x v="1"/>
    <s v="TS-21160"/>
    <s v="Theresa Swint"/>
    <x v="1"/>
    <s v="United States"/>
    <x v="29"/>
    <x v="24"/>
    <x v="0"/>
    <s v="FUR-FU-10002937"/>
    <x v="0"/>
    <x v="3"/>
    <s v="GE 48&quot; Fluorescent Tube, Cool White Energy Saver, 34 Watts, 30/Box"/>
    <n v="595.38"/>
    <n v="6"/>
    <n v="297.69"/>
    <x v="2"/>
    <x v="6"/>
  </r>
  <r>
    <s v="CA-2017-127929"/>
    <x v="340"/>
    <d v="2017-12-27T00:00:00"/>
    <x v="1"/>
    <s v="FM-14215"/>
    <s v="Filia McAdams"/>
    <x v="1"/>
    <s v="United States"/>
    <x v="108"/>
    <x v="19"/>
    <x v="2"/>
    <s v="FUR-FU-10003708"/>
    <x v="0"/>
    <x v="3"/>
    <s v="Tenex Traditional Chairmats for Medium Pile Carpet, Standard Lip, 36&quot; x 48&quot;"/>
    <n v="181.95"/>
    <n v="3"/>
    <n v="38.209499999999998"/>
    <x v="4"/>
    <x v="5"/>
  </r>
  <r>
    <s v="CA-2015-113145"/>
    <x v="341"/>
    <d v="2015-11-05T00:00:00"/>
    <x v="1"/>
    <s v="VD-21670"/>
    <s v="Valerie Dominguez"/>
    <x v="0"/>
    <s v="United States"/>
    <x v="13"/>
    <x v="7"/>
    <x v="2"/>
    <s v="FUR-FU-10000965"/>
    <x v="0"/>
    <x v="3"/>
    <s v="Howard Miller 11-1/2&quot; Diameter Ridgewood Wall Clock"/>
    <n v="259.7"/>
    <n v="5"/>
    <n v="106.477"/>
    <x v="4"/>
    <x v="0"/>
  </r>
  <r>
    <s v="CA-2017-157931"/>
    <x v="342"/>
    <d v="2017-09-22T00:00:00"/>
    <x v="0"/>
    <s v="MO-17800"/>
    <s v="Meg O'Connel"/>
    <x v="2"/>
    <s v="United States"/>
    <x v="153"/>
    <x v="24"/>
    <x v="0"/>
    <s v="FUR-CH-10000785"/>
    <x v="0"/>
    <x v="1"/>
    <s v="Global Ergonomic Managers Chair"/>
    <n v="723.92"/>
    <n v="4"/>
    <n v="188.2192"/>
    <x v="2"/>
    <x v="4"/>
  </r>
  <r>
    <s v="CA-2016-115574"/>
    <x v="207"/>
    <d v="2016-12-24T00:00:00"/>
    <x v="2"/>
    <s v="BP-11185"/>
    <s v="Ben Peterman"/>
    <x v="1"/>
    <s v="United States"/>
    <x v="9"/>
    <x v="8"/>
    <x v="3"/>
    <s v="FUR-BO-10003441"/>
    <x v="0"/>
    <x v="0"/>
    <s v="Bush Westfield Collection Bookcases, Fully Assembled"/>
    <n v="141.37200000000001"/>
    <n v="2"/>
    <n v="-14.1372"/>
    <x v="5"/>
    <x v="5"/>
  </r>
  <r>
    <s v="US-2017-120418"/>
    <x v="343"/>
    <d v="2017-06-12T00:00:00"/>
    <x v="2"/>
    <s v="BC-11125"/>
    <s v="Becky Castell"/>
    <x v="2"/>
    <s v="United States"/>
    <x v="117"/>
    <x v="22"/>
    <x v="1"/>
    <s v="FUR-CH-10001394"/>
    <x v="0"/>
    <x v="1"/>
    <s v="Global Leather Executive Chair"/>
    <n v="280.79199999999997"/>
    <n v="1"/>
    <n v="35.098999999999997"/>
    <x v="5"/>
    <x v="2"/>
  </r>
  <r>
    <s v="CA-2017-122035"/>
    <x v="96"/>
    <d v="2017-07-25T00:00:00"/>
    <x v="1"/>
    <s v="EM-13825"/>
    <s v="Elizabeth Moffitt"/>
    <x v="1"/>
    <s v="United States"/>
    <x v="154"/>
    <x v="40"/>
    <x v="3"/>
    <s v="FUR-CH-10003833"/>
    <x v="0"/>
    <x v="1"/>
    <s v="Novimex Fabric Task Chair"/>
    <n v="182.94"/>
    <n v="3"/>
    <n v="27.440999999999999"/>
    <x v="2"/>
    <x v="3"/>
  </r>
  <r>
    <s v="CA-2015-105102"/>
    <x v="195"/>
    <d v="2015-09-19T00:00:00"/>
    <x v="0"/>
    <s v="BM-11575"/>
    <s v="Brendan Murry"/>
    <x v="1"/>
    <s v="United States"/>
    <x v="13"/>
    <x v="7"/>
    <x v="2"/>
    <s v="FUR-BO-10004709"/>
    <x v="0"/>
    <x v="0"/>
    <s v="Bush Westfield Collection Bookcases, Medium Cherry Finish"/>
    <n v="46.384"/>
    <n v="1"/>
    <n v="1.1596"/>
    <x v="4"/>
    <x v="4"/>
  </r>
  <r>
    <s v="US-2015-147739"/>
    <x v="344"/>
    <d v="2015-12-29T00:00:00"/>
    <x v="1"/>
    <s v="JD-16150"/>
    <s v="Justin Deggeller"/>
    <x v="1"/>
    <s v="United States"/>
    <x v="3"/>
    <x v="3"/>
    <x v="2"/>
    <s v="FUR-FU-10001468"/>
    <x v="0"/>
    <x v="3"/>
    <s v="Tenex Antistatic Computer Chair Mats"/>
    <n v="547.13599999999997"/>
    <n v="4"/>
    <n v="-68.391999999999996"/>
    <x v="4"/>
    <x v="5"/>
  </r>
  <r>
    <s v="US-2014-143231"/>
    <x v="252"/>
    <d v="2015-01-03T00:00:00"/>
    <x v="2"/>
    <s v="GM-14455"/>
    <s v="Gary Mitchum"/>
    <x v="2"/>
    <s v="United States"/>
    <x v="20"/>
    <x v="20"/>
    <x v="2"/>
    <s v="FUR-FU-10002501"/>
    <x v="0"/>
    <x v="3"/>
    <s v="Nu-Dell Executive Frame"/>
    <n v="63.2"/>
    <n v="5"/>
    <n v="23.384"/>
    <x v="0"/>
    <x v="5"/>
  </r>
  <r>
    <s v="CA-2016-159373"/>
    <x v="345"/>
    <d v="2016-03-18T00:00:00"/>
    <x v="1"/>
    <s v="LT-17110"/>
    <s v="Liz Thompson"/>
    <x v="0"/>
    <s v="United States"/>
    <x v="21"/>
    <x v="5"/>
    <x v="3"/>
    <s v="FUR-TA-10004619"/>
    <x v="0"/>
    <x v="2"/>
    <s v="Hon Non-Folding Utility Tables"/>
    <n v="557.58500000000004"/>
    <n v="5"/>
    <n v="0"/>
    <x v="2"/>
    <x v="9"/>
  </r>
  <r>
    <s v="CA-2015-111514"/>
    <x v="346"/>
    <d v="2015-09-02T00:00:00"/>
    <x v="2"/>
    <s v="SC-20260"/>
    <s v="Scott Cohen"/>
    <x v="1"/>
    <s v="United States"/>
    <x v="28"/>
    <x v="2"/>
    <x v="1"/>
    <s v="FUR-BO-10002545"/>
    <x v="0"/>
    <x v="0"/>
    <s v="Atlantic Metals Mobile 3-Shelf Bookcases, Custom Colors"/>
    <n v="1552.8309999999999"/>
    <n v="7"/>
    <n v="200.9546"/>
    <x v="3"/>
    <x v="10"/>
  </r>
  <r>
    <s v="US-2014-148838"/>
    <x v="347"/>
    <d v="2014-03-21T00:00:00"/>
    <x v="1"/>
    <s v="CP-12340"/>
    <s v="Christine Phan"/>
    <x v="1"/>
    <s v="United States"/>
    <x v="13"/>
    <x v="7"/>
    <x v="2"/>
    <s v="FUR-TA-10003473"/>
    <x v="0"/>
    <x v="2"/>
    <s v="Bretford Rectangular Conference Table Tops"/>
    <n v="1579.7460000000001"/>
    <n v="7"/>
    <n v="-447.59469999999999"/>
    <x v="4"/>
    <x v="9"/>
  </r>
  <r>
    <s v="US-2014-148838"/>
    <x v="347"/>
    <d v="2014-03-21T00:00:00"/>
    <x v="1"/>
    <s v="CP-12340"/>
    <s v="Christine Phan"/>
    <x v="1"/>
    <s v="United States"/>
    <x v="13"/>
    <x v="7"/>
    <x v="2"/>
    <s v="FUR-TA-10001950"/>
    <x v="0"/>
    <x v="2"/>
    <s v="Balt Solid Wood Round Tables"/>
    <n v="1071.576"/>
    <n v="4"/>
    <n v="-553.64760000000001"/>
    <x v="4"/>
    <x v="9"/>
  </r>
  <r>
    <s v="US-2014-148838"/>
    <x v="347"/>
    <d v="2014-03-21T00:00:00"/>
    <x v="1"/>
    <s v="CP-12340"/>
    <s v="Christine Phan"/>
    <x v="1"/>
    <s v="United States"/>
    <x v="13"/>
    <x v="7"/>
    <x v="2"/>
    <s v="FUR-TA-10004175"/>
    <x v="0"/>
    <x v="2"/>
    <s v="Hon 30&quot; x 60&quot; Table with Locking Drawer"/>
    <n v="613.90800000000002"/>
    <n v="3"/>
    <n v="-122.7816"/>
    <x v="4"/>
    <x v="9"/>
  </r>
  <r>
    <s v="US-2016-108637"/>
    <x v="345"/>
    <d v="2016-03-18T00:00:00"/>
    <x v="1"/>
    <s v="AB-10060"/>
    <s v="Adam Bellavance"/>
    <x v="2"/>
    <s v="United States"/>
    <x v="61"/>
    <x v="25"/>
    <x v="0"/>
    <s v="FUR-FU-10004864"/>
    <x v="0"/>
    <x v="3"/>
    <s v="Howard Miller 14-1/2&quot; Diameter Chrome Round Wall Clock"/>
    <n v="127.88"/>
    <n v="2"/>
    <n v="40.921599999999998"/>
    <x v="2"/>
    <x v="9"/>
  </r>
  <r>
    <s v="CA-2014-102295"/>
    <x v="168"/>
    <d v="2014-11-26T00:00:00"/>
    <x v="0"/>
    <s v="EH-13990"/>
    <s v="Erica Hackney"/>
    <x v="0"/>
    <s v="United States"/>
    <x v="155"/>
    <x v="2"/>
    <x v="1"/>
    <s v="FUR-CH-10001714"/>
    <x v="0"/>
    <x v="1"/>
    <s v="Global Leather &amp; Oak Executive Chair, Burgundy"/>
    <n v="120.712"/>
    <n v="1"/>
    <n v="-18.1068"/>
    <x v="3"/>
    <x v="0"/>
  </r>
  <r>
    <s v="US-2016-129469"/>
    <x v="348"/>
    <d v="2016-09-27T00:00:00"/>
    <x v="1"/>
    <s v="KL-16555"/>
    <s v="Kelly Lampkin"/>
    <x v="1"/>
    <s v="United States"/>
    <x v="130"/>
    <x v="15"/>
    <x v="2"/>
    <s v="FUR-FU-10002298"/>
    <x v="0"/>
    <x v="3"/>
    <s v="Rubbermaid ClusterMat Chairmats, Mat Size- 66&quot; x 60&quot;, Lip 20&quot; x 11&quot; -90 Degree Angle"/>
    <n v="532.70399999999995"/>
    <n v="6"/>
    <n v="-26.635200000000001"/>
    <x v="4"/>
    <x v="4"/>
  </r>
  <r>
    <s v="CA-2016-159940"/>
    <x v="281"/>
    <d v="2016-07-11T00:00:00"/>
    <x v="0"/>
    <s v="BF-11020"/>
    <s v="Barry Franzšsisch"/>
    <x v="1"/>
    <s v="United States"/>
    <x v="14"/>
    <x v="8"/>
    <x v="3"/>
    <s v="FUR-FU-10004973"/>
    <x v="0"/>
    <x v="3"/>
    <s v="Flat Face Poster Frame"/>
    <n v="60.287999999999997"/>
    <n v="8"/>
    <n v="-27.1296"/>
    <x v="4"/>
    <x v="3"/>
  </r>
  <r>
    <s v="CA-2016-159940"/>
    <x v="281"/>
    <d v="2016-07-11T00:00:00"/>
    <x v="0"/>
    <s v="BF-11020"/>
    <s v="Barry Franzšsisch"/>
    <x v="1"/>
    <s v="United States"/>
    <x v="14"/>
    <x v="8"/>
    <x v="3"/>
    <s v="FUR-CH-10000785"/>
    <x v="0"/>
    <x v="1"/>
    <s v="Global Ergonomic Managers Chair"/>
    <n v="253.37200000000001"/>
    <n v="2"/>
    <n v="-14.478400000000001"/>
    <x v="4"/>
    <x v="3"/>
  </r>
  <r>
    <s v="CA-2016-118052"/>
    <x v="349"/>
    <d v="2016-05-10T00:00:00"/>
    <x v="1"/>
    <s v="BE-11455"/>
    <s v="Brad Eason"/>
    <x v="2"/>
    <s v="United States"/>
    <x v="75"/>
    <x v="15"/>
    <x v="2"/>
    <s v="FUR-FU-10004848"/>
    <x v="0"/>
    <x v="3"/>
    <s v="DAX Solid Wood Frames"/>
    <n v="54.712000000000003"/>
    <n v="7"/>
    <n v="11.626300000000001"/>
    <x v="4"/>
    <x v="7"/>
  </r>
  <r>
    <s v="US-2015-127040"/>
    <x v="248"/>
    <d v="2015-12-10T00:00:00"/>
    <x v="1"/>
    <s v="SG-20605"/>
    <s v="Speros Goranitis"/>
    <x v="0"/>
    <s v="United States"/>
    <x v="13"/>
    <x v="7"/>
    <x v="2"/>
    <s v="FUR-FU-10002878"/>
    <x v="0"/>
    <x v="3"/>
    <s v="Seth Thomas 14&quot; Day/Date Wall Clock"/>
    <n v="113.92"/>
    <n v="4"/>
    <n v="42.150399999999998"/>
    <x v="4"/>
    <x v="5"/>
  </r>
  <r>
    <s v="US-2016-110170"/>
    <x v="350"/>
    <d v="2016-10-03T00:00:00"/>
    <x v="1"/>
    <s v="HM-14860"/>
    <s v="Harry Marie"/>
    <x v="1"/>
    <s v="United States"/>
    <x v="156"/>
    <x v="5"/>
    <x v="3"/>
    <s v="FUR-BO-10000780"/>
    <x v="0"/>
    <x v="0"/>
    <s v="O'Sullivan Plantations 2-Door Library in Landvery Oak"/>
    <n v="956.66480000000001"/>
    <n v="7"/>
    <n v="-225.0976"/>
    <x v="6"/>
    <x v="4"/>
  </r>
  <r>
    <s v="CA-2017-155985"/>
    <x v="351"/>
    <d v="2017-03-25T00:00:00"/>
    <x v="2"/>
    <s v="BE-11335"/>
    <s v="Bill Eplett"/>
    <x v="2"/>
    <s v="United States"/>
    <x v="28"/>
    <x v="2"/>
    <x v="1"/>
    <s v="FUR-FU-10000758"/>
    <x v="0"/>
    <x v="3"/>
    <s v="DAX Natural Wood-Tone Poster Frame"/>
    <n v="211.84"/>
    <n v="8"/>
    <n v="76.2624"/>
    <x v="3"/>
    <x v="9"/>
  </r>
  <r>
    <s v="CA-2014-151295"/>
    <x v="352"/>
    <d v="2014-11-16T00:00:00"/>
    <x v="1"/>
    <s v="JA-15970"/>
    <s v="Joseph Airdo"/>
    <x v="0"/>
    <s v="United States"/>
    <x v="2"/>
    <x v="2"/>
    <x v="1"/>
    <s v="FUR-TA-10002356"/>
    <x v="0"/>
    <x v="2"/>
    <s v="Bevis Boat-Shaped Conference Table"/>
    <n v="629.06399999999996"/>
    <n v="3"/>
    <n v="31.453199999999999"/>
    <x v="4"/>
    <x v="0"/>
  </r>
  <r>
    <s v="CA-2016-156300"/>
    <x v="353"/>
    <d v="2017-01-02T00:00:00"/>
    <x v="1"/>
    <s v="TB-21595"/>
    <s v="Troy Blackwell"/>
    <x v="0"/>
    <s v="United States"/>
    <x v="79"/>
    <x v="16"/>
    <x v="3"/>
    <s v="FUR-CH-10001714"/>
    <x v="0"/>
    <x v="1"/>
    <s v="Global Leather &amp; Oak Executive Chair, Burgundy"/>
    <n v="754.45"/>
    <n v="5"/>
    <n v="60.356000000000002"/>
    <x v="4"/>
    <x v="5"/>
  </r>
  <r>
    <s v="CA-2015-146087"/>
    <x v="171"/>
    <d v="2015-07-11T00:00:00"/>
    <x v="1"/>
    <s v="PP-18955"/>
    <s v="Paul Prost"/>
    <x v="2"/>
    <s v="United States"/>
    <x v="157"/>
    <x v="20"/>
    <x v="2"/>
    <s v="FUR-BO-10002824"/>
    <x v="0"/>
    <x v="0"/>
    <s v="Bush Mission Pointe Library"/>
    <n v="301.95999999999998"/>
    <n v="2"/>
    <n v="60.392000000000003"/>
    <x v="2"/>
    <x v="3"/>
  </r>
  <r>
    <s v="US-2017-147669"/>
    <x v="19"/>
    <d v="2017-12-30T00:00:00"/>
    <x v="1"/>
    <s v="SV-20935"/>
    <s v="Susan Vittorini"/>
    <x v="0"/>
    <s v="United States"/>
    <x v="130"/>
    <x v="15"/>
    <x v="2"/>
    <s v="FUR-TA-10002645"/>
    <x v="0"/>
    <x v="2"/>
    <s v="Hon Rectangular Conference Tables"/>
    <n v="273.06"/>
    <n v="2"/>
    <n v="-104.673"/>
    <x v="2"/>
    <x v="5"/>
  </r>
  <r>
    <s v="CA-2016-169922"/>
    <x v="354"/>
    <d v="2016-06-17T00:00:00"/>
    <x v="1"/>
    <s v="MZ-17515"/>
    <s v="Mary Zewe"/>
    <x v="1"/>
    <s v="United States"/>
    <x v="58"/>
    <x v="5"/>
    <x v="3"/>
    <s v="FUR-FU-10004415"/>
    <x v="0"/>
    <x v="3"/>
    <s v="Stacking Tray, Side-Loading, Legal, Smoke"/>
    <n v="12.544"/>
    <n v="7"/>
    <n v="-9.0944000000000003"/>
    <x v="6"/>
    <x v="2"/>
  </r>
  <r>
    <s v="CA-2017-129805"/>
    <x v="158"/>
    <d v="2018-01-02T00:00:00"/>
    <x v="1"/>
    <s v="HM-14860"/>
    <s v="Harry Marie"/>
    <x v="1"/>
    <s v="United States"/>
    <x v="15"/>
    <x v="13"/>
    <x v="1"/>
    <s v="FUR-FU-10001935"/>
    <x v="0"/>
    <x v="3"/>
    <s v="3M Hangers With Command Adhesive"/>
    <n v="7.4"/>
    <n v="2"/>
    <n v="3.0339999999999998"/>
    <x v="2"/>
    <x v="5"/>
  </r>
  <r>
    <s v="CA-2014-148586"/>
    <x v="355"/>
    <d v="2014-04-01T00:00:00"/>
    <x v="1"/>
    <s v="AZ-10750"/>
    <s v="Annie Zypern"/>
    <x v="0"/>
    <s v="United States"/>
    <x v="13"/>
    <x v="7"/>
    <x v="2"/>
    <s v="FUR-CH-10002439"/>
    <x v="0"/>
    <x v="1"/>
    <s v="Iceberg Nesting Folding Chair, 19w x 6d x 43h"/>
    <n v="366.786"/>
    <n v="7"/>
    <n v="65.206400000000002"/>
    <x v="1"/>
    <x v="9"/>
  </r>
  <r>
    <s v="CA-2017-140053"/>
    <x v="209"/>
    <d v="2017-07-10T00:00:00"/>
    <x v="1"/>
    <s v="CA-12265"/>
    <s v="Christina Anderson"/>
    <x v="0"/>
    <s v="United States"/>
    <x v="158"/>
    <x v="41"/>
    <x v="1"/>
    <s v="FUR-FU-10003708"/>
    <x v="0"/>
    <x v="3"/>
    <s v="Tenex Traditional Chairmats for Medium Pile Carpet, Standard Lip, 36&quot; x 48&quot;"/>
    <n v="545.85"/>
    <n v="9"/>
    <n v="114.6285"/>
    <x v="1"/>
    <x v="3"/>
  </r>
  <r>
    <s v="CA-2014-164210"/>
    <x v="356"/>
    <d v="2014-11-20T00:00:00"/>
    <x v="0"/>
    <s v="PW-19240"/>
    <s v="Pierre Wener"/>
    <x v="0"/>
    <s v="United States"/>
    <x v="74"/>
    <x v="12"/>
    <x v="1"/>
    <s v="FUR-TA-10000849"/>
    <x v="0"/>
    <x v="2"/>
    <s v="Bevis Rectangular Conference Tables"/>
    <n v="145.97999999999999"/>
    <n v="2"/>
    <n v="-99.266400000000004"/>
    <x v="3"/>
    <x v="0"/>
  </r>
  <r>
    <s v="CA-2017-139948"/>
    <x v="357"/>
    <d v="2017-07-22T00:00:00"/>
    <x v="1"/>
    <s v="SW-20455"/>
    <s v="Shaun Weien"/>
    <x v="0"/>
    <s v="United States"/>
    <x v="26"/>
    <x v="1"/>
    <x v="0"/>
    <s v="FUR-FU-10002597"/>
    <x v="0"/>
    <x v="3"/>
    <s v="C-Line Magnetic Cubicle Keepers, Clear Polypropylene"/>
    <n v="7.9039999999999999"/>
    <n v="2"/>
    <n v="2.1736"/>
    <x v="2"/>
    <x v="3"/>
  </r>
  <r>
    <s v="CA-2016-146934"/>
    <x v="358"/>
    <d v="2016-05-27T00:00:00"/>
    <x v="1"/>
    <s v="AF-10870"/>
    <s v="Art Ferguson"/>
    <x v="0"/>
    <s v="United States"/>
    <x v="159"/>
    <x v="18"/>
    <x v="2"/>
    <s v="FUR-TA-10003748"/>
    <x v="0"/>
    <x v="2"/>
    <s v="Bevis 36 x 72 Conference Tables"/>
    <n v="174.286"/>
    <n v="2"/>
    <n v="-19.918399999999998"/>
    <x v="2"/>
    <x v="7"/>
  </r>
  <r>
    <s v="CA-2016-119165"/>
    <x v="359"/>
    <d v="2016-11-06T00:00:00"/>
    <x v="1"/>
    <s v="BD-11320"/>
    <s v="Bill Donatelli"/>
    <x v="0"/>
    <s v="United States"/>
    <x v="3"/>
    <x v="3"/>
    <x v="2"/>
    <s v="FUR-CH-10000988"/>
    <x v="0"/>
    <x v="1"/>
    <s v="Hon Olson Stacker Stools"/>
    <n v="492.83499999999998"/>
    <n v="5"/>
    <n v="-14.081"/>
    <x v="6"/>
    <x v="1"/>
  </r>
  <r>
    <s v="US-2016-135923"/>
    <x v="360"/>
    <d v="2016-01-28T00:00:00"/>
    <x v="1"/>
    <s v="CM-11935"/>
    <s v="Carlos Meador"/>
    <x v="0"/>
    <s v="United States"/>
    <x v="160"/>
    <x v="30"/>
    <x v="0"/>
    <s v="FUR-FU-10002107"/>
    <x v="0"/>
    <x v="3"/>
    <s v="Eldon Pizzaz Desk Accessories"/>
    <n v="14.272"/>
    <n v="8"/>
    <n v="4.2816000000000001"/>
    <x v="6"/>
    <x v="8"/>
  </r>
  <r>
    <s v="US-2016-135923"/>
    <x v="360"/>
    <d v="2016-01-28T00:00:00"/>
    <x v="1"/>
    <s v="CM-11935"/>
    <s v="Carlos Meador"/>
    <x v="0"/>
    <s v="United States"/>
    <x v="160"/>
    <x v="30"/>
    <x v="0"/>
    <s v="FUR-BO-10002213"/>
    <x v="0"/>
    <x v="0"/>
    <s v="Sauder Forest Hills Library, Woodland Oak Finish"/>
    <n v="451.13600000000002"/>
    <n v="4"/>
    <n v="-67.670400000000001"/>
    <x v="6"/>
    <x v="8"/>
  </r>
  <r>
    <s v="CA-2016-114972"/>
    <x v="361"/>
    <d v="2016-11-06T00:00:00"/>
    <x v="2"/>
    <s v="PF-19225"/>
    <s v="Phillip Flathmann"/>
    <x v="0"/>
    <s v="United States"/>
    <x v="2"/>
    <x v="2"/>
    <x v="1"/>
    <s v="FUR-CH-10001190"/>
    <x v="0"/>
    <x v="1"/>
    <s v="Global Deluxe High-Back Office Chair in Storm"/>
    <n v="217.584"/>
    <n v="2"/>
    <n v="-29.9178"/>
    <x v="0"/>
    <x v="0"/>
  </r>
  <r>
    <s v="CA-2017-102750"/>
    <x v="362"/>
    <d v="2017-09-08T00:00:00"/>
    <x v="0"/>
    <s v="GM-14695"/>
    <s v="Greg Maxwell"/>
    <x v="1"/>
    <s v="United States"/>
    <x v="2"/>
    <x v="2"/>
    <x v="1"/>
    <s v="FUR-TA-10000198"/>
    <x v="0"/>
    <x v="2"/>
    <s v="Chromcraft Bull-Nose Wood Oval Conference Tables &amp; Bases"/>
    <n v="1322.3520000000001"/>
    <n v="3"/>
    <n v="-99.176400000000001"/>
    <x v="4"/>
    <x v="4"/>
  </r>
  <r>
    <s v="CA-2017-126067"/>
    <x v="363"/>
    <d v="2017-09-03T00:00:00"/>
    <x v="1"/>
    <s v="KN-16705"/>
    <s v="Kristina Nunn"/>
    <x v="2"/>
    <s v="United States"/>
    <x v="15"/>
    <x v="13"/>
    <x v="1"/>
    <s v="FUR-TA-10000617"/>
    <x v="0"/>
    <x v="2"/>
    <s v="Hon Practical Foundations 30 x 60 Training Table, Light Gray/Charcoal"/>
    <n v="1137.75"/>
    <n v="5"/>
    <n v="250.30500000000001"/>
    <x v="6"/>
    <x v="10"/>
  </r>
  <r>
    <s v="CA-2016-146206"/>
    <x v="364"/>
    <d v="2016-09-14T00:00:00"/>
    <x v="0"/>
    <s v="KT-16480"/>
    <s v="Kean Thornton"/>
    <x v="0"/>
    <s v="United States"/>
    <x v="6"/>
    <x v="5"/>
    <x v="3"/>
    <s v="FUR-TA-10004086"/>
    <x v="0"/>
    <x v="2"/>
    <s v="KI Adjustable-Height Table"/>
    <n v="300.93"/>
    <n v="5"/>
    <n v="-34.392000000000003"/>
    <x v="4"/>
    <x v="4"/>
  </r>
  <r>
    <s v="CA-2014-136644"/>
    <x v="365"/>
    <d v="2014-06-22T00:00:00"/>
    <x v="1"/>
    <s v="SC-20575"/>
    <s v="Sonia Cooley"/>
    <x v="0"/>
    <s v="United States"/>
    <x v="161"/>
    <x v="6"/>
    <x v="3"/>
    <s v="FUR-CH-10000225"/>
    <x v="0"/>
    <x v="1"/>
    <s v="Global Geo Office Task Chair, Gray"/>
    <n v="647.84"/>
    <n v="8"/>
    <n v="32.392000000000003"/>
    <x v="6"/>
    <x v="2"/>
  </r>
  <r>
    <s v="CA-2014-143917"/>
    <x v="366"/>
    <d v="2014-07-27T00:00:00"/>
    <x v="0"/>
    <s v="KL-16645"/>
    <s v="Ken Lonsdale"/>
    <x v="0"/>
    <s v="United States"/>
    <x v="28"/>
    <x v="2"/>
    <x v="1"/>
    <s v="FUR-FU-10004351"/>
    <x v="0"/>
    <x v="3"/>
    <s v="Staple-based wall hangings"/>
    <n v="77.92"/>
    <n v="8"/>
    <n v="34.284799999999997"/>
    <x v="3"/>
    <x v="3"/>
  </r>
  <r>
    <s v="CA-2016-124506"/>
    <x v="367"/>
    <d v="2016-11-17T00:00:00"/>
    <x v="1"/>
    <s v="BB-11545"/>
    <s v="Brenda Bowman"/>
    <x v="1"/>
    <s v="United States"/>
    <x v="9"/>
    <x v="8"/>
    <x v="3"/>
    <s v="FUR-CH-10004540"/>
    <x v="0"/>
    <x v="1"/>
    <s v="Global Chrome Stack Chair"/>
    <n v="47.991999999999997"/>
    <n v="2"/>
    <n v="-2.0568"/>
    <x v="6"/>
    <x v="0"/>
  </r>
  <r>
    <s v="CA-2017-123134"/>
    <x v="368"/>
    <d v="2017-05-07T00:00:00"/>
    <x v="1"/>
    <s v="DW-13585"/>
    <s v="Dorothy Wardle"/>
    <x v="1"/>
    <s v="United States"/>
    <x v="162"/>
    <x v="18"/>
    <x v="2"/>
    <s v="FUR-FU-10003975"/>
    <x v="0"/>
    <x v="3"/>
    <s v="Eldon Advantage Chair Mats for Low to Medium Pile Carpets"/>
    <n v="129.93"/>
    <n v="3"/>
    <n v="12.993"/>
    <x v="2"/>
    <x v="7"/>
  </r>
  <r>
    <s v="CA-2015-168746"/>
    <x v="369"/>
    <d v="2015-01-29T00:00:00"/>
    <x v="0"/>
    <s v="SV-20365"/>
    <s v="Seth Vernon"/>
    <x v="0"/>
    <s v="United States"/>
    <x v="59"/>
    <x v="15"/>
    <x v="2"/>
    <s v="FUR-CH-10000513"/>
    <x v="0"/>
    <x v="1"/>
    <s v="High-Back Leather Manager's Chair"/>
    <n v="181.98599999999999"/>
    <n v="2"/>
    <n v="-54.595799999999997"/>
    <x v="3"/>
    <x v="8"/>
  </r>
  <r>
    <s v="CA-2015-113404"/>
    <x v="370"/>
    <d v="2015-07-16T00:00:00"/>
    <x v="3"/>
    <s v="EM-13810"/>
    <s v="Eleni McCrary"/>
    <x v="1"/>
    <s v="United States"/>
    <x v="28"/>
    <x v="2"/>
    <x v="1"/>
    <s v="FUR-CH-10003312"/>
    <x v="0"/>
    <x v="1"/>
    <s v="Hon 2090 ÒPillow SoftÓ Series Mid Back Swivel/Tilt Chairs"/>
    <n v="1348.704"/>
    <n v="6"/>
    <n v="-219.1644"/>
    <x v="7"/>
    <x v="3"/>
  </r>
  <r>
    <s v="CA-2015-113404"/>
    <x v="370"/>
    <d v="2015-07-16T00:00:00"/>
    <x v="3"/>
    <s v="EM-13810"/>
    <s v="Eleni McCrary"/>
    <x v="1"/>
    <s v="United States"/>
    <x v="28"/>
    <x v="2"/>
    <x v="1"/>
    <s v="FUR-CH-10004086"/>
    <x v="0"/>
    <x v="1"/>
    <s v="Hon 4070 Series Pagoda Armless Upholstered Stacking Chairs"/>
    <n v="700.15200000000004"/>
    <n v="3"/>
    <n v="78.767099999999999"/>
    <x v="7"/>
    <x v="3"/>
  </r>
  <r>
    <s v="CA-2016-144792"/>
    <x v="325"/>
    <d v="2016-05-04T00:00:00"/>
    <x v="1"/>
    <s v="KD-16615"/>
    <s v="Ken Dana"/>
    <x v="1"/>
    <s v="United States"/>
    <x v="163"/>
    <x v="22"/>
    <x v="1"/>
    <s v="FUR-FU-10002759"/>
    <x v="0"/>
    <x v="3"/>
    <s v="12-1/2 Diameter Round Wall Clock"/>
    <n v="111.88800000000001"/>
    <n v="7"/>
    <n v="22.377600000000001"/>
    <x v="4"/>
    <x v="6"/>
  </r>
  <r>
    <s v="US-2016-114174"/>
    <x v="63"/>
    <d v="2016-09-14T00:00:00"/>
    <x v="1"/>
    <s v="AP-10720"/>
    <s v="Anne Pryor"/>
    <x v="2"/>
    <s v="United States"/>
    <x v="164"/>
    <x v="20"/>
    <x v="2"/>
    <s v="FUR-BO-10003450"/>
    <x v="0"/>
    <x v="0"/>
    <s v="Bush Westfield Collection Bookcases, Dark Cherry Finish"/>
    <n v="173.94"/>
    <n v="3"/>
    <n v="13.9152"/>
    <x v="6"/>
    <x v="4"/>
  </r>
  <r>
    <s v="CA-2017-108070"/>
    <x v="371"/>
    <d v="2017-04-20T00:00:00"/>
    <x v="1"/>
    <s v="JE-15745"/>
    <s v="Joel Eaton"/>
    <x v="0"/>
    <s v="United States"/>
    <x v="124"/>
    <x v="2"/>
    <x v="1"/>
    <s v="FUR-BO-10001337"/>
    <x v="0"/>
    <x v="0"/>
    <s v="O'Sullivan Living Dimensions 2-Shelf Bookcases"/>
    <n v="102.833"/>
    <n v="1"/>
    <n v="-6.0490000000000004"/>
    <x v="4"/>
    <x v="6"/>
  </r>
  <r>
    <s v="CA-2017-101042"/>
    <x v="49"/>
    <d v="2017-11-23T00:00:00"/>
    <x v="1"/>
    <s v="AB-10105"/>
    <s v="Adrian Barton"/>
    <x v="0"/>
    <s v="United States"/>
    <x v="0"/>
    <x v="0"/>
    <x v="0"/>
    <s v="FUR-FU-10004665"/>
    <x v="0"/>
    <x v="3"/>
    <s v="3M Polarizing Task Lamp with Clamp Arm, Light Gray"/>
    <n v="821.88"/>
    <n v="6"/>
    <n v="213.68879999999999"/>
    <x v="4"/>
    <x v="0"/>
  </r>
  <r>
    <s v="US-2016-126844"/>
    <x v="372"/>
    <d v="2016-10-14T00:00:00"/>
    <x v="1"/>
    <s v="BW-11110"/>
    <s v="Bart Watters"/>
    <x v="1"/>
    <s v="United States"/>
    <x v="6"/>
    <x v="5"/>
    <x v="3"/>
    <s v="FUR-FU-10004909"/>
    <x v="0"/>
    <x v="3"/>
    <s v="Contemporary Wood/Metal Frame"/>
    <n v="51.712000000000003"/>
    <n v="8"/>
    <n v="-32.32"/>
    <x v="6"/>
    <x v="1"/>
  </r>
  <r>
    <s v="CA-2015-147788"/>
    <x v="151"/>
    <d v="2015-06-04T00:00:00"/>
    <x v="1"/>
    <s v="TM-21010"/>
    <s v="Tamara Manning"/>
    <x v="0"/>
    <s v="United States"/>
    <x v="4"/>
    <x v="4"/>
    <x v="1"/>
    <s v="FUR-BO-10004357"/>
    <x v="0"/>
    <x v="0"/>
    <s v="O'Sullivan Living Dimensions 3-Shelf Bookcases"/>
    <n v="1406.86"/>
    <n v="7"/>
    <n v="140.68600000000001"/>
    <x v="4"/>
    <x v="7"/>
  </r>
  <r>
    <s v="CA-2017-123967"/>
    <x v="373"/>
    <d v="2017-11-03T00:00:00"/>
    <x v="0"/>
    <s v="SF-20200"/>
    <s v="Sarah Foster"/>
    <x v="0"/>
    <s v="United States"/>
    <x v="165"/>
    <x v="13"/>
    <x v="1"/>
    <s v="FUR-TA-10003954"/>
    <x v="0"/>
    <x v="2"/>
    <s v="Hon 94000 Series Round Tables"/>
    <n v="2665.62"/>
    <n v="9"/>
    <n v="239.9058"/>
    <x v="3"/>
    <x v="0"/>
  </r>
  <r>
    <s v="CA-2017-145128"/>
    <x v="374"/>
    <d v="2017-07-14T00:00:00"/>
    <x v="1"/>
    <s v="SM-20320"/>
    <s v="Sean Miller"/>
    <x v="2"/>
    <s v="United States"/>
    <x v="120"/>
    <x v="6"/>
    <x v="3"/>
    <s v="FUR-FU-10000293"/>
    <x v="0"/>
    <x v="3"/>
    <s v="Eldon Antistatic Chair Mats for Low to Medium Pile Carpets"/>
    <n v="526.45000000000005"/>
    <n v="5"/>
    <n v="31.587"/>
    <x v="2"/>
    <x v="3"/>
  </r>
  <r>
    <s v="US-2014-155502"/>
    <x v="375"/>
    <d v="2014-01-31T00:00:00"/>
    <x v="1"/>
    <s v="SD-20485"/>
    <s v="Shirley Daniels"/>
    <x v="2"/>
    <s v="United States"/>
    <x v="166"/>
    <x v="25"/>
    <x v="0"/>
    <s v="FUR-FU-10004587"/>
    <x v="0"/>
    <x v="3"/>
    <s v="GE General Use Halogen Bulbs, 100 Watts, 1 Bulb per Pack"/>
    <n v="62.82"/>
    <n v="3"/>
    <n v="30.7818"/>
    <x v="2"/>
    <x v="8"/>
  </r>
  <r>
    <s v="US-2014-155502"/>
    <x v="375"/>
    <d v="2014-01-31T00:00:00"/>
    <x v="1"/>
    <s v="SD-20485"/>
    <s v="Shirley Daniels"/>
    <x v="2"/>
    <s v="United States"/>
    <x v="166"/>
    <x v="25"/>
    <x v="0"/>
    <s v="FUR-FU-10001847"/>
    <x v="0"/>
    <x v="3"/>
    <s v="Eldon Image Series Black Desk Accessories"/>
    <n v="12.42"/>
    <n v="3"/>
    <n v="4.4711999999999996"/>
    <x v="2"/>
    <x v="8"/>
  </r>
  <r>
    <s v="CA-2017-131695"/>
    <x v="254"/>
    <d v="2017-07-06T00:00:00"/>
    <x v="1"/>
    <s v="RA-19285"/>
    <s v="Ralph Arnett"/>
    <x v="0"/>
    <s v="United States"/>
    <x v="13"/>
    <x v="7"/>
    <x v="2"/>
    <s v="FUR-FU-10002045"/>
    <x v="0"/>
    <x v="3"/>
    <s v="Executive Impressions 14&quot;"/>
    <n v="22.23"/>
    <n v="1"/>
    <n v="9.7812000000000001"/>
    <x v="6"/>
    <x v="2"/>
  </r>
  <r>
    <s v="US-2016-115455"/>
    <x v="63"/>
    <d v="2016-09-14T00:00:00"/>
    <x v="1"/>
    <s v="SE-20110"/>
    <s v="Sanjit Engle"/>
    <x v="0"/>
    <s v="United States"/>
    <x v="167"/>
    <x v="8"/>
    <x v="3"/>
    <s v="FUR-FU-10004671"/>
    <x v="0"/>
    <x v="3"/>
    <s v="Executive Impressions 12&quot; Wall Clock"/>
    <n v="14.135999999999999"/>
    <n v="2"/>
    <n v="-7.7747999999999999"/>
    <x v="6"/>
    <x v="4"/>
  </r>
  <r>
    <s v="US-2016-115455"/>
    <x v="63"/>
    <d v="2016-09-14T00:00:00"/>
    <x v="1"/>
    <s v="SE-20110"/>
    <s v="Sanjit Engle"/>
    <x v="0"/>
    <s v="United States"/>
    <x v="167"/>
    <x v="8"/>
    <x v="3"/>
    <s v="FUR-TA-10003569"/>
    <x v="0"/>
    <x v="2"/>
    <s v="Bretford CR8500 Series Meeting Room Furniture"/>
    <n v="601.47"/>
    <n v="3"/>
    <n v="-300.73500000000001"/>
    <x v="6"/>
    <x v="4"/>
  </r>
  <r>
    <s v="CA-2016-165848"/>
    <x v="41"/>
    <d v="2016-06-04T00:00:00"/>
    <x v="3"/>
    <s v="EN-13780"/>
    <s v="Edward Nazzal"/>
    <x v="0"/>
    <s v="United States"/>
    <x v="13"/>
    <x v="7"/>
    <x v="2"/>
    <s v="FUR-BO-10000362"/>
    <x v="0"/>
    <x v="0"/>
    <s v="Sauder Inglewood Library Bookcases"/>
    <n v="136.78399999999999"/>
    <n v="1"/>
    <n v="5.1294000000000004"/>
    <x v="7"/>
    <x v="2"/>
  </r>
  <r>
    <s v="CA-2016-165848"/>
    <x v="41"/>
    <d v="2016-06-04T00:00:00"/>
    <x v="3"/>
    <s v="EN-13780"/>
    <s v="Edward Nazzal"/>
    <x v="0"/>
    <s v="United States"/>
    <x v="13"/>
    <x v="7"/>
    <x v="2"/>
    <s v="FUR-FU-10003878"/>
    <x v="0"/>
    <x v="3"/>
    <s v="Linden 10&quot; Round Wall Clock, Black"/>
    <n v="61.12"/>
    <n v="4"/>
    <n v="20.780799999999999"/>
    <x v="7"/>
    <x v="2"/>
  </r>
  <r>
    <s v="CA-2014-127446"/>
    <x v="306"/>
    <d v="2014-11-30T00:00:00"/>
    <x v="1"/>
    <s v="MC-17590"/>
    <s v="Matt Collister"/>
    <x v="1"/>
    <s v="United States"/>
    <x v="58"/>
    <x v="5"/>
    <x v="3"/>
    <s v="FUR-TA-10000577"/>
    <x v="0"/>
    <x v="2"/>
    <s v="Bretford CR4500 Series Slim Rectangular Table"/>
    <n v="1218.7349999999999"/>
    <n v="5"/>
    <n v="-121.87350000000001"/>
    <x v="2"/>
    <x v="0"/>
  </r>
  <r>
    <s v="CA-2014-127446"/>
    <x v="306"/>
    <d v="2014-11-30T00:00:00"/>
    <x v="1"/>
    <s v="MC-17590"/>
    <s v="Matt Collister"/>
    <x v="1"/>
    <s v="United States"/>
    <x v="58"/>
    <x v="5"/>
    <x v="3"/>
    <s v="FUR-FU-10000221"/>
    <x v="0"/>
    <x v="3"/>
    <s v="Master Caster Door Stop, Brown"/>
    <n v="6.0960000000000001"/>
    <n v="3"/>
    <n v="-3.9624000000000001"/>
    <x v="2"/>
    <x v="0"/>
  </r>
  <r>
    <s v="CA-2016-137204"/>
    <x v="376"/>
    <d v="2016-05-05T00:00:00"/>
    <x v="1"/>
    <s v="BO-11350"/>
    <s v="Bill Overfelt"/>
    <x v="1"/>
    <s v="United States"/>
    <x v="2"/>
    <x v="2"/>
    <x v="1"/>
    <s v="FUR-CH-10002304"/>
    <x v="0"/>
    <x v="1"/>
    <s v="Global Stack Chair without Arms, Black"/>
    <n v="41.567999999999998"/>
    <n v="2"/>
    <n v="2.5979999999999999"/>
    <x v="1"/>
    <x v="6"/>
  </r>
  <r>
    <s v="CA-2014-147298"/>
    <x v="377"/>
    <d v="2014-05-03T00:00:00"/>
    <x v="1"/>
    <s v="AG-10300"/>
    <s v="Aleksandra Gannaway"/>
    <x v="1"/>
    <s v="United States"/>
    <x v="2"/>
    <x v="2"/>
    <x v="1"/>
    <s v="FUR-CH-10004886"/>
    <x v="0"/>
    <x v="1"/>
    <s v="Bevis Steel Folding Chairs"/>
    <n v="230.28"/>
    <n v="3"/>
    <n v="23.027999999999999"/>
    <x v="1"/>
    <x v="6"/>
  </r>
  <r>
    <s v="US-2017-110604"/>
    <x v="378"/>
    <d v="2017-05-20T00:00:00"/>
    <x v="1"/>
    <s v="JF-15295"/>
    <s v="Jason Fortune-"/>
    <x v="0"/>
    <s v="United States"/>
    <x v="15"/>
    <x v="13"/>
    <x v="1"/>
    <s v="FUR-FU-10000076"/>
    <x v="0"/>
    <x v="3"/>
    <s v="24-Hour Round Wall Clock"/>
    <n v="39.96"/>
    <n v="2"/>
    <n v="17.1828"/>
    <x v="2"/>
    <x v="7"/>
  </r>
  <r>
    <s v="US-2017-110604"/>
    <x v="378"/>
    <d v="2017-05-20T00:00:00"/>
    <x v="1"/>
    <s v="JF-15295"/>
    <s v="Jason Fortune-"/>
    <x v="0"/>
    <s v="United States"/>
    <x v="15"/>
    <x v="13"/>
    <x v="1"/>
    <s v="FUR-CH-10002017"/>
    <x v="0"/>
    <x v="1"/>
    <s v="SAFCO Optional Arm Kit for Workspace Cribbage Stacking Chair"/>
    <n v="42.624000000000002"/>
    <n v="2"/>
    <n v="4.2624000000000004"/>
    <x v="2"/>
    <x v="7"/>
  </r>
  <r>
    <s v="US-2017-110604"/>
    <x v="378"/>
    <d v="2017-05-20T00:00:00"/>
    <x v="1"/>
    <s v="JF-15295"/>
    <s v="Jason Fortune-"/>
    <x v="0"/>
    <s v="United States"/>
    <x v="15"/>
    <x v="13"/>
    <x v="1"/>
    <s v="FUR-CH-10004287"/>
    <x v="0"/>
    <x v="1"/>
    <s v="SAFCO Arco Folding Chair"/>
    <n v="220.96"/>
    <n v="1"/>
    <n v="24.858000000000001"/>
    <x v="2"/>
    <x v="7"/>
  </r>
  <r>
    <s v="CA-2015-116750"/>
    <x v="379"/>
    <d v="2015-07-10T00:00:00"/>
    <x v="0"/>
    <s v="BF-10975"/>
    <s v="Barbara Fisher"/>
    <x v="1"/>
    <s v="United States"/>
    <x v="160"/>
    <x v="30"/>
    <x v="0"/>
    <s v="FUR-FU-10003829"/>
    <x v="0"/>
    <x v="3"/>
    <s v="Stackable Trays"/>
    <n v="4.9279999999999999"/>
    <n v="2"/>
    <n v="0.73919999999999997"/>
    <x v="2"/>
    <x v="3"/>
  </r>
  <r>
    <s v="CA-2017-108441"/>
    <x v="235"/>
    <d v="2017-06-18T00:00:00"/>
    <x v="1"/>
    <s v="SB-20170"/>
    <s v="Sarah Bern"/>
    <x v="0"/>
    <s v="United States"/>
    <x v="13"/>
    <x v="7"/>
    <x v="2"/>
    <s v="FUR-CH-10000595"/>
    <x v="0"/>
    <x v="1"/>
    <s v="Safco Contoured Stacking Chairs"/>
    <n v="858.24"/>
    <n v="4"/>
    <n v="143.04"/>
    <x v="6"/>
    <x v="2"/>
  </r>
  <r>
    <s v="CA-2016-149111"/>
    <x v="380"/>
    <d v="2016-04-21T00:00:00"/>
    <x v="0"/>
    <s v="BF-11170"/>
    <s v="Ben Ferrer"/>
    <x v="2"/>
    <s v="United States"/>
    <x v="168"/>
    <x v="30"/>
    <x v="0"/>
    <s v="FUR-FU-10000206"/>
    <x v="0"/>
    <x v="3"/>
    <s v="GE General Purpose, Extra Long Life, Showcase &amp; Floodlight Incandescent Bulbs"/>
    <n v="18.623999999999999"/>
    <n v="8"/>
    <n v="6.2855999999999996"/>
    <x v="4"/>
    <x v="6"/>
  </r>
  <r>
    <s v="CA-2014-131002"/>
    <x v="266"/>
    <d v="2014-09-12T00:00:00"/>
    <x v="0"/>
    <s v="TB-21400"/>
    <s v="Tom Boeckenhauer"/>
    <x v="0"/>
    <s v="United States"/>
    <x v="169"/>
    <x v="37"/>
    <x v="3"/>
    <s v="FUR-FU-10004270"/>
    <x v="0"/>
    <x v="3"/>
    <s v="Executive Impressions 13&quot; Clairmont Wall Clock"/>
    <n v="57.69"/>
    <n v="3"/>
    <n v="23.652899999999999"/>
    <x v="2"/>
    <x v="4"/>
  </r>
  <r>
    <s v="CA-2014-131002"/>
    <x v="266"/>
    <d v="2014-09-12T00:00:00"/>
    <x v="0"/>
    <s v="TB-21400"/>
    <s v="Tom Boeckenhauer"/>
    <x v="0"/>
    <s v="United States"/>
    <x v="169"/>
    <x v="37"/>
    <x v="3"/>
    <s v="FUR-FU-10004665"/>
    <x v="0"/>
    <x v="3"/>
    <s v="3M Polarizing Task Lamp with Clamp Arm, Light Gray"/>
    <n v="821.88"/>
    <n v="6"/>
    <n v="213.68879999999999"/>
    <x v="2"/>
    <x v="4"/>
  </r>
  <r>
    <s v="US-2016-146794"/>
    <x v="73"/>
    <d v="2016-10-01T00:00:00"/>
    <x v="1"/>
    <s v="SH-19975"/>
    <s v="Sally Hughsby"/>
    <x v="1"/>
    <s v="United States"/>
    <x v="170"/>
    <x v="2"/>
    <x v="1"/>
    <s v="FUR-BO-10004467"/>
    <x v="0"/>
    <x v="0"/>
    <s v="Bestar Classic Bookcase"/>
    <n v="424.95749999999998"/>
    <n v="5"/>
    <n v="19.998000000000001"/>
    <x v="2"/>
    <x v="4"/>
  </r>
  <r>
    <s v="CA-2017-112515"/>
    <x v="342"/>
    <d v="2017-09-21T00:00:00"/>
    <x v="0"/>
    <s v="AS-10225"/>
    <s v="Alan Schoenberger"/>
    <x v="1"/>
    <s v="United States"/>
    <x v="106"/>
    <x v="4"/>
    <x v="1"/>
    <s v="FUR-BO-10003404"/>
    <x v="0"/>
    <x v="0"/>
    <s v="Global Adaptabilites Bookcase, Cherry/Storm Gray Finish"/>
    <n v="1292.94"/>
    <n v="3"/>
    <n v="77.576400000000007"/>
    <x v="4"/>
    <x v="4"/>
  </r>
  <r>
    <s v="CA-2015-135538"/>
    <x v="37"/>
    <d v="2015-12-28T00:00:00"/>
    <x v="1"/>
    <s v="HR-14830"/>
    <s v="Harold Ryan"/>
    <x v="1"/>
    <s v="United States"/>
    <x v="171"/>
    <x v="22"/>
    <x v="1"/>
    <s v="FUR-CH-10004287"/>
    <x v="0"/>
    <x v="1"/>
    <s v="SAFCO Arco Folding Chair"/>
    <n v="883.84"/>
    <n v="4"/>
    <n v="99.432000000000002"/>
    <x v="4"/>
    <x v="5"/>
  </r>
  <r>
    <s v="CA-2016-164784"/>
    <x v="381"/>
    <d v="2016-05-04T00:00:00"/>
    <x v="2"/>
    <s v="HF-14995"/>
    <s v="Herbert Flentye"/>
    <x v="0"/>
    <s v="United States"/>
    <x v="10"/>
    <x v="9"/>
    <x v="0"/>
    <s v="FUR-TA-10004534"/>
    <x v="0"/>
    <x v="2"/>
    <s v="Bevis 44 x 96 Conference Tables"/>
    <n v="370.62"/>
    <n v="3"/>
    <n v="-142.071"/>
    <x v="0"/>
    <x v="7"/>
  </r>
  <r>
    <s v="US-2015-139759"/>
    <x v="382"/>
    <d v="2015-08-30T00:00:00"/>
    <x v="1"/>
    <s v="NL-18310"/>
    <s v="Nancy Lomonaco"/>
    <x v="2"/>
    <s v="United States"/>
    <x v="2"/>
    <x v="2"/>
    <x v="1"/>
    <s v="FUR-CH-10002774"/>
    <x v="0"/>
    <x v="1"/>
    <s v="Global Deluxe Stacking Chair, Gray"/>
    <n v="40.783999999999999"/>
    <n v="1"/>
    <n v="4.5881999999999996"/>
    <x v="2"/>
    <x v="10"/>
  </r>
  <r>
    <s v="CA-2014-126403"/>
    <x v="383"/>
    <d v="2014-09-12T00:00:00"/>
    <x v="0"/>
    <s v="RR-19525"/>
    <s v="Rick Reed"/>
    <x v="1"/>
    <s v="United States"/>
    <x v="172"/>
    <x v="20"/>
    <x v="2"/>
    <s v="FUR-CH-10003761"/>
    <x v="0"/>
    <x v="1"/>
    <s v="Global Italian Leather Office Chair"/>
    <n v="785.88"/>
    <n v="6"/>
    <n v="212.1876"/>
    <x v="0"/>
    <x v="4"/>
  </r>
  <r>
    <s v="CA-2016-138079"/>
    <x v="360"/>
    <d v="2016-01-28T00:00:00"/>
    <x v="1"/>
    <s v="AJ-10795"/>
    <s v="Anthony Johnson"/>
    <x v="1"/>
    <s v="United States"/>
    <x v="15"/>
    <x v="13"/>
    <x v="1"/>
    <s v="FUR-FU-10001475"/>
    <x v="0"/>
    <x v="3"/>
    <s v="Contract Clock, 14&quot;, Brown"/>
    <n v="109.9"/>
    <n v="5"/>
    <n v="37.366"/>
    <x v="6"/>
    <x v="8"/>
  </r>
  <r>
    <s v="CA-2014-143182"/>
    <x v="384"/>
    <d v="2014-10-20T00:00:00"/>
    <x v="1"/>
    <s v="DL-12865"/>
    <s v="Dan Lawera"/>
    <x v="0"/>
    <s v="United States"/>
    <x v="173"/>
    <x v="1"/>
    <x v="0"/>
    <s v="FUR-FU-10004270"/>
    <x v="0"/>
    <x v="3"/>
    <s v="Executive Impressions 13&quot; Clairmont Wall Clock"/>
    <n v="15.384"/>
    <n v="1"/>
    <n v="4.0382999999999996"/>
    <x v="2"/>
    <x v="1"/>
  </r>
  <r>
    <s v="CA-2014-145317"/>
    <x v="385"/>
    <d v="2014-03-23T00:00:00"/>
    <x v="1"/>
    <s v="SM-20320"/>
    <s v="Sean Miller"/>
    <x v="2"/>
    <s v="United States"/>
    <x v="51"/>
    <x v="1"/>
    <x v="0"/>
    <s v="FUR-FU-10004270"/>
    <x v="0"/>
    <x v="3"/>
    <s v="Executive Impressions 13&quot; Clairmont Wall Clock"/>
    <n v="30.768000000000001"/>
    <n v="2"/>
    <n v="8.0765999999999991"/>
    <x v="2"/>
    <x v="9"/>
  </r>
  <r>
    <s v="CA-2014-145317"/>
    <x v="385"/>
    <d v="2014-03-23T00:00:00"/>
    <x v="1"/>
    <s v="SM-20320"/>
    <s v="Sean Miller"/>
    <x v="2"/>
    <s v="United States"/>
    <x v="51"/>
    <x v="1"/>
    <x v="0"/>
    <s v="FUR-FU-10001986"/>
    <x v="0"/>
    <x v="3"/>
    <s v="Dana Fluorescent Magnifying Lamp, White, 36&quot;"/>
    <n v="122.352"/>
    <n v="3"/>
    <n v="15.294"/>
    <x v="2"/>
    <x v="9"/>
  </r>
  <r>
    <s v="CA-2015-121797"/>
    <x v="386"/>
    <d v="2015-02-06T00:00:00"/>
    <x v="1"/>
    <s v="CC-12145"/>
    <s v="Charles Crestani"/>
    <x v="0"/>
    <s v="United States"/>
    <x v="2"/>
    <x v="2"/>
    <x v="1"/>
    <s v="FUR-FU-10001876"/>
    <x v="0"/>
    <x v="3"/>
    <s v="Computer Room Manger, 14&quot;"/>
    <n v="227.36"/>
    <n v="7"/>
    <n v="81.849599999999995"/>
    <x v="1"/>
    <x v="8"/>
  </r>
  <r>
    <s v="CA-2017-132430"/>
    <x v="224"/>
    <d v="2017-10-11T00:00:00"/>
    <x v="2"/>
    <s v="CP-12085"/>
    <s v="Cathy Prescott"/>
    <x v="1"/>
    <s v="United States"/>
    <x v="174"/>
    <x v="15"/>
    <x v="2"/>
    <s v="FUR-FU-10003577"/>
    <x v="0"/>
    <x v="3"/>
    <s v="Nu-Dell Leatherette Frames"/>
    <n v="45.887999999999998"/>
    <n v="4"/>
    <n v="9.1776"/>
    <x v="3"/>
    <x v="1"/>
  </r>
  <r>
    <s v="CA-2014-110030"/>
    <x v="387"/>
    <d v="2014-12-08T00:00:00"/>
    <x v="0"/>
    <s v="LF-17185"/>
    <s v="Luke Foster"/>
    <x v="0"/>
    <s v="United States"/>
    <x v="6"/>
    <x v="5"/>
    <x v="3"/>
    <s v="FUR-FU-10002759"/>
    <x v="0"/>
    <x v="3"/>
    <s v="12-1/2 Diameter Round Wall Clock"/>
    <n v="23.975999999999999"/>
    <n v="3"/>
    <n v="-14.3856"/>
    <x v="3"/>
    <x v="5"/>
  </r>
  <r>
    <s v="CA-2017-149888"/>
    <x v="388"/>
    <d v="2017-11-13T00:00:00"/>
    <x v="1"/>
    <s v="EP-13915"/>
    <s v="Emily Phan"/>
    <x v="0"/>
    <s v="United States"/>
    <x v="3"/>
    <x v="3"/>
    <x v="2"/>
    <s v="FUR-TA-10000849"/>
    <x v="0"/>
    <x v="2"/>
    <s v="Bevis Rectangular Conference Tables"/>
    <n v="350.35199999999998"/>
    <n v="4"/>
    <n v="-140.14080000000001"/>
    <x v="6"/>
    <x v="0"/>
  </r>
  <r>
    <s v="CA-2017-104801"/>
    <x v="389"/>
    <d v="2017-02-19T00:00:00"/>
    <x v="1"/>
    <s v="FH-14350"/>
    <s v="Fred Harton"/>
    <x v="0"/>
    <s v="United States"/>
    <x v="15"/>
    <x v="13"/>
    <x v="1"/>
    <s v="FUR-FU-10004017"/>
    <x v="0"/>
    <x v="3"/>
    <s v="Tenex Contemporary Contur Chairmats for Low and Medium Pile Carpet, Computer, 39&quot; x 49&quot;"/>
    <n v="107.53"/>
    <n v="1"/>
    <n v="21.506"/>
    <x v="6"/>
    <x v="11"/>
  </r>
  <r>
    <s v="CA-2015-115798"/>
    <x v="18"/>
    <d v="2015-11-19T00:00:00"/>
    <x v="1"/>
    <s v="KL-16645"/>
    <s v="Ken Lonsdale"/>
    <x v="0"/>
    <s v="United States"/>
    <x v="19"/>
    <x v="14"/>
    <x v="2"/>
    <s v="FUR-BO-10004467"/>
    <x v="0"/>
    <x v="0"/>
    <s v="Bestar Classic Bookcase"/>
    <n v="299.97000000000003"/>
    <n v="3"/>
    <n v="56.994300000000003"/>
    <x v="6"/>
    <x v="0"/>
  </r>
  <r>
    <s v="CA-2014-149244"/>
    <x v="53"/>
    <d v="2014-11-08T00:00:00"/>
    <x v="1"/>
    <s v="MS-17530"/>
    <s v="MaryBeth Skach"/>
    <x v="0"/>
    <s v="United States"/>
    <x v="53"/>
    <x v="2"/>
    <x v="1"/>
    <s v="FUR-FU-10004671"/>
    <x v="0"/>
    <x v="3"/>
    <s v="Executive Impressions 12&quot; Wall Clock"/>
    <n v="35.340000000000003"/>
    <n v="2"/>
    <n v="13.4292"/>
    <x v="4"/>
    <x v="0"/>
  </r>
  <r>
    <s v="CA-2015-140144"/>
    <x v="390"/>
    <d v="2015-06-25T00:00:00"/>
    <x v="0"/>
    <s v="SC-20770"/>
    <s v="Stewart Carmichael"/>
    <x v="1"/>
    <s v="United States"/>
    <x v="28"/>
    <x v="2"/>
    <x v="1"/>
    <s v="FUR-FU-10002253"/>
    <x v="0"/>
    <x v="3"/>
    <s v="Howard Miller 13&quot; Diameter Pewter Finish Round Wall Clock"/>
    <n v="257.64"/>
    <n v="6"/>
    <n v="100.4796"/>
    <x v="2"/>
    <x v="2"/>
  </r>
  <r>
    <s v="CA-2014-155887"/>
    <x v="264"/>
    <d v="2014-05-17T00:00:00"/>
    <x v="1"/>
    <s v="KT-16480"/>
    <s v="Kean Thornton"/>
    <x v="0"/>
    <s v="United States"/>
    <x v="20"/>
    <x v="20"/>
    <x v="2"/>
    <s v="FUR-TA-10002228"/>
    <x v="0"/>
    <x v="2"/>
    <s v="Bevis Traditional Conference Table Top, Plinth Base"/>
    <n v="700.05600000000004"/>
    <n v="3"/>
    <n v="-130.0104"/>
    <x v="2"/>
    <x v="7"/>
  </r>
  <r>
    <s v="US-2014-141257"/>
    <x v="391"/>
    <d v="2014-06-14T00:00:00"/>
    <x v="1"/>
    <s v="CS-11950"/>
    <s v="Carlos Soltero"/>
    <x v="0"/>
    <s v="United States"/>
    <x v="15"/>
    <x v="13"/>
    <x v="1"/>
    <s v="FUR-CH-10002758"/>
    <x v="0"/>
    <x v="1"/>
    <s v="Hon Deluxe Fabric Upholstered Stacking Chairs, Squared Back"/>
    <n v="585.55200000000002"/>
    <n v="3"/>
    <n v="73.194000000000003"/>
    <x v="6"/>
    <x v="2"/>
  </r>
  <r>
    <s v="CA-2014-158029"/>
    <x v="261"/>
    <d v="2014-05-30T00:00:00"/>
    <x v="1"/>
    <s v="HF-14995"/>
    <s v="Herbert Flentye"/>
    <x v="0"/>
    <s v="United States"/>
    <x v="2"/>
    <x v="2"/>
    <x v="1"/>
    <s v="FUR-CH-10000988"/>
    <x v="0"/>
    <x v="1"/>
    <s v="Hon Olson Stacker Stools"/>
    <n v="225.29599999999999"/>
    <n v="2"/>
    <n v="22.529599999999999"/>
    <x v="4"/>
    <x v="7"/>
  </r>
  <r>
    <s v="CA-2016-146171"/>
    <x v="237"/>
    <d v="2016-03-15T00:00:00"/>
    <x v="1"/>
    <s v="JP-16135"/>
    <s v="Julie Prescott"/>
    <x v="2"/>
    <s v="United States"/>
    <x v="29"/>
    <x v="24"/>
    <x v="0"/>
    <s v="FUR-FU-10004270"/>
    <x v="0"/>
    <x v="3"/>
    <s v="Executive Impressions 13&quot; Clairmont Wall Clock"/>
    <n v="76.92"/>
    <n v="4"/>
    <n v="31.537199999999999"/>
    <x v="4"/>
    <x v="9"/>
  </r>
  <r>
    <s v="CA-2017-158967"/>
    <x v="247"/>
    <d v="2017-12-12T00:00:00"/>
    <x v="2"/>
    <s v="BT-11680"/>
    <s v="Brian Thompson"/>
    <x v="0"/>
    <s v="United States"/>
    <x v="1"/>
    <x v="1"/>
    <x v="0"/>
    <s v="FUR-FU-10001940"/>
    <x v="0"/>
    <x v="3"/>
    <s v="Staple-based wall hangings"/>
    <n v="19.103999999999999"/>
    <n v="3"/>
    <n v="5.7312000000000003"/>
    <x v="3"/>
    <x v="5"/>
  </r>
  <r>
    <s v="CA-2015-138534"/>
    <x v="392"/>
    <d v="2015-07-19T00:00:00"/>
    <x v="0"/>
    <s v="JM-15535"/>
    <s v="Jessica Myrick"/>
    <x v="0"/>
    <s v="United States"/>
    <x v="175"/>
    <x v="2"/>
    <x v="1"/>
    <s v="FUR-BO-10003159"/>
    <x v="0"/>
    <x v="0"/>
    <s v="Sauder Camden County Collection Libraries, Planked Cherry Finish"/>
    <n v="195.46600000000001"/>
    <n v="2"/>
    <n v="-13.797599999999999"/>
    <x v="3"/>
    <x v="3"/>
  </r>
  <r>
    <s v="CA-2017-108322"/>
    <x v="393"/>
    <d v="2017-05-05T00:00:00"/>
    <x v="1"/>
    <s v="SS-20140"/>
    <s v="Saphhira Shifley"/>
    <x v="1"/>
    <s v="United States"/>
    <x v="176"/>
    <x v="1"/>
    <x v="0"/>
    <s v="FUR-FU-10001935"/>
    <x v="0"/>
    <x v="3"/>
    <s v="3M Hangers With Command Adhesive"/>
    <n v="23.68"/>
    <n v="8"/>
    <n v="6.2160000000000002"/>
    <x v="2"/>
    <x v="6"/>
  </r>
  <r>
    <s v="CA-2015-149972"/>
    <x v="231"/>
    <d v="2015-09-23T00:00:00"/>
    <x v="2"/>
    <s v="CD-12790"/>
    <s v="Cynthia Delaney"/>
    <x v="2"/>
    <s v="United States"/>
    <x v="2"/>
    <x v="2"/>
    <x v="1"/>
    <s v="FUR-CH-10004997"/>
    <x v="0"/>
    <x v="1"/>
    <s v="Hon Every-Day Series Multi-Task Chairs"/>
    <n v="601.53599999999994"/>
    <n v="4"/>
    <n v="0"/>
    <x v="3"/>
    <x v="4"/>
  </r>
  <r>
    <s v="US-2014-117744"/>
    <x v="116"/>
    <d v="2014-12-06T00:00:00"/>
    <x v="1"/>
    <s v="MD-17860"/>
    <s v="Michael Dominguez"/>
    <x v="1"/>
    <s v="United States"/>
    <x v="177"/>
    <x v="5"/>
    <x v="3"/>
    <s v="FUR-FU-10001588"/>
    <x v="0"/>
    <x v="3"/>
    <s v="Deflect-o SuperTray Unbreakable Stackable Tray, Letter, Black"/>
    <n v="58.36"/>
    <n v="5"/>
    <n v="-24.803000000000001"/>
    <x v="4"/>
    <x v="5"/>
  </r>
  <r>
    <s v="US-2014-117744"/>
    <x v="116"/>
    <d v="2014-12-06T00:00:00"/>
    <x v="1"/>
    <s v="MD-17860"/>
    <s v="Michael Dominguez"/>
    <x v="1"/>
    <s v="United States"/>
    <x v="177"/>
    <x v="5"/>
    <x v="3"/>
    <s v="FUR-FU-10002759"/>
    <x v="0"/>
    <x v="3"/>
    <s v="12-1/2 Diameter Round Wall Clock"/>
    <n v="39.96"/>
    <n v="5"/>
    <n v="-23.975999999999999"/>
    <x v="4"/>
    <x v="5"/>
  </r>
  <r>
    <s v="CA-2014-154599"/>
    <x v="394"/>
    <d v="2014-04-17T00:00:00"/>
    <x v="1"/>
    <s v="KN-16450"/>
    <s v="Kean Nguyen"/>
    <x v="1"/>
    <s v="United States"/>
    <x v="178"/>
    <x v="2"/>
    <x v="1"/>
    <s v="FUR-BO-10001337"/>
    <x v="0"/>
    <x v="0"/>
    <s v="O'Sullivan Living Dimensions 2-Shelf Bookcases"/>
    <n v="308.49900000000002"/>
    <n v="3"/>
    <n v="-18.146999999999998"/>
    <x v="2"/>
    <x v="6"/>
  </r>
  <r>
    <s v="CA-2017-143329"/>
    <x v="54"/>
    <d v="2017-11-08T00:00:00"/>
    <x v="1"/>
    <s v="DL-13330"/>
    <s v="Denise Leinenbach"/>
    <x v="0"/>
    <s v="United States"/>
    <x v="179"/>
    <x v="41"/>
    <x v="1"/>
    <s v="FUR-FU-10000629"/>
    <x v="0"/>
    <x v="3"/>
    <s v="9-3/4 Diameter Round Wall Clock"/>
    <n v="41.37"/>
    <n v="3"/>
    <n v="17.375399999999999"/>
    <x v="2"/>
    <x v="0"/>
  </r>
  <r>
    <s v="CA-2015-122623"/>
    <x v="395"/>
    <d v="2015-09-11T00:00:00"/>
    <x v="1"/>
    <s v="CC-12145"/>
    <s v="Charles Crestani"/>
    <x v="0"/>
    <s v="United States"/>
    <x v="116"/>
    <x v="5"/>
    <x v="3"/>
    <s v="FUR-CH-10000553"/>
    <x v="0"/>
    <x v="1"/>
    <s v="Metal Folding Chairs, Beige, 4/Carton"/>
    <n v="47.515999999999998"/>
    <n v="2"/>
    <n v="-2.0364"/>
    <x v="4"/>
    <x v="4"/>
  </r>
  <r>
    <s v="CA-2015-148635"/>
    <x v="396"/>
    <d v="2015-07-27T00:00:00"/>
    <x v="0"/>
    <s v="MH-18025"/>
    <s v="Michelle Huthwaite"/>
    <x v="0"/>
    <s v="United States"/>
    <x v="15"/>
    <x v="13"/>
    <x v="1"/>
    <s v="FUR-BO-10002213"/>
    <x v="0"/>
    <x v="0"/>
    <s v="Sauder Forest Hills Library, Woodland Oak Finish"/>
    <n v="704.9"/>
    <n v="5"/>
    <n v="56.392000000000003"/>
    <x v="3"/>
    <x v="3"/>
  </r>
  <r>
    <s v="CA-2015-148635"/>
    <x v="396"/>
    <d v="2015-07-27T00:00:00"/>
    <x v="0"/>
    <s v="MH-18025"/>
    <s v="Michelle Huthwaite"/>
    <x v="0"/>
    <s v="United States"/>
    <x v="15"/>
    <x v="13"/>
    <x v="1"/>
    <s v="FUR-CH-10001854"/>
    <x v="0"/>
    <x v="1"/>
    <s v="Office Star - Professional Matrix Back Chair with 2-to-1 Synchro Tilt and Mesh Fabric Seat"/>
    <n v="561.56799999999998"/>
    <n v="2"/>
    <n v="28.078399999999998"/>
    <x v="3"/>
    <x v="3"/>
  </r>
  <r>
    <s v="CA-2015-135685"/>
    <x v="397"/>
    <d v="2015-11-18T00:00:00"/>
    <x v="0"/>
    <s v="MP-18175"/>
    <s v="Mike Pelletier"/>
    <x v="2"/>
    <s v="United States"/>
    <x v="79"/>
    <x v="16"/>
    <x v="3"/>
    <s v="FUR-FU-10001185"/>
    <x v="0"/>
    <x v="3"/>
    <s v="Advantus Employee of the Month Certificate Frame, 11 x 13-1/2"/>
    <n v="185.58"/>
    <n v="6"/>
    <n v="76.087800000000001"/>
    <x v="3"/>
    <x v="0"/>
  </r>
  <r>
    <s v="CA-2015-135685"/>
    <x v="397"/>
    <d v="2015-11-18T00:00:00"/>
    <x v="0"/>
    <s v="MP-18175"/>
    <s v="Mike Pelletier"/>
    <x v="2"/>
    <s v="United States"/>
    <x v="79"/>
    <x v="16"/>
    <x v="3"/>
    <s v="FUR-TA-10001520"/>
    <x v="0"/>
    <x v="2"/>
    <s v="Lesro Sheffield Collection Coffee Table, End Table, Center Table, Corner Table"/>
    <n v="214.11"/>
    <n v="3"/>
    <n v="36.398699999999998"/>
    <x v="3"/>
    <x v="0"/>
  </r>
  <r>
    <s v="CA-2015-135685"/>
    <x v="397"/>
    <d v="2015-11-18T00:00:00"/>
    <x v="0"/>
    <s v="MP-18175"/>
    <s v="Mike Pelletier"/>
    <x v="2"/>
    <s v="United States"/>
    <x v="79"/>
    <x v="16"/>
    <x v="3"/>
    <s v="FUR-TA-10000688"/>
    <x v="0"/>
    <x v="2"/>
    <s v="Chromcraft Bull-Nose Wood Round Conference Table Top, Wood Base"/>
    <n v="653.54999999999995"/>
    <n v="3"/>
    <n v="111.1035"/>
    <x v="3"/>
    <x v="0"/>
  </r>
  <r>
    <s v="CA-2015-104626"/>
    <x v="398"/>
    <d v="2015-09-08T00:00:00"/>
    <x v="1"/>
    <s v="DR-12940"/>
    <s v="Daniel Raglin"/>
    <x v="2"/>
    <s v="United States"/>
    <x v="20"/>
    <x v="20"/>
    <x v="2"/>
    <s v="FUR-CH-10003817"/>
    <x v="0"/>
    <x v="1"/>
    <s v="Global Value Steno Chair, Gray"/>
    <n v="60.74"/>
    <n v="1"/>
    <n v="15.185"/>
    <x v="1"/>
    <x v="4"/>
  </r>
  <r>
    <s v="CA-2015-104626"/>
    <x v="398"/>
    <d v="2015-09-08T00:00:00"/>
    <x v="1"/>
    <s v="DR-12940"/>
    <s v="Daniel Raglin"/>
    <x v="2"/>
    <s v="United States"/>
    <x v="20"/>
    <x v="20"/>
    <x v="2"/>
    <s v="FUR-FU-10000308"/>
    <x v="0"/>
    <x v="3"/>
    <s v="Deflect-o Glass Clear Studded Chair Mats"/>
    <n v="124.36"/>
    <n v="2"/>
    <n v="27.359200000000001"/>
    <x v="1"/>
    <x v="4"/>
  </r>
  <r>
    <s v="CA-2016-160500"/>
    <x v="399"/>
    <d v="2016-05-08T00:00:00"/>
    <x v="2"/>
    <s v="DM-13015"/>
    <s v="Darrin Martin"/>
    <x v="0"/>
    <s v="United States"/>
    <x v="92"/>
    <x v="2"/>
    <x v="1"/>
    <s v="FUR-TA-10003748"/>
    <x v="0"/>
    <x v="2"/>
    <s v="Bevis 36 x 72 Conference Tables"/>
    <n v="298.77600000000001"/>
    <n v="3"/>
    <n v="7.4694000000000003"/>
    <x v="0"/>
    <x v="7"/>
  </r>
  <r>
    <s v="US-2014-112914"/>
    <x v="400"/>
    <d v="2014-09-30T00:00:00"/>
    <x v="1"/>
    <s v="MT-18070"/>
    <s v="Michelle Tran"/>
    <x v="2"/>
    <s v="United States"/>
    <x v="6"/>
    <x v="5"/>
    <x v="3"/>
    <s v="FUR-BO-10003272"/>
    <x v="0"/>
    <x v="0"/>
    <s v="O'Sullivan Living Dimensions 5-Shelf Bookcases"/>
    <n v="300.53280000000001"/>
    <n v="2"/>
    <n v="-97.231200000000001"/>
    <x v="2"/>
    <x v="4"/>
  </r>
  <r>
    <s v="US-2014-125521"/>
    <x v="401"/>
    <d v="2014-03-19T00:00:00"/>
    <x v="1"/>
    <s v="CK-12325"/>
    <s v="Christine Kargatis"/>
    <x v="2"/>
    <s v="United States"/>
    <x v="180"/>
    <x v="25"/>
    <x v="0"/>
    <s v="FUR-CH-10003379"/>
    <x v="0"/>
    <x v="1"/>
    <s v="Global Commerce Series High-Back Swivel/Tilt Chairs"/>
    <n v="1139.92"/>
    <n v="4"/>
    <n v="284.98"/>
    <x v="2"/>
    <x v="9"/>
  </r>
  <r>
    <s v="US-2016-162852"/>
    <x v="402"/>
    <d v="2016-12-31T00:00:00"/>
    <x v="1"/>
    <s v="BG-11695"/>
    <s v="Brooke Gillingham"/>
    <x v="1"/>
    <s v="United States"/>
    <x v="181"/>
    <x v="8"/>
    <x v="3"/>
    <s v="FUR-CH-10004853"/>
    <x v="0"/>
    <x v="1"/>
    <s v="Global Manager's Adjustable Task Chair, Storm"/>
    <n v="845.48800000000006"/>
    <n v="8"/>
    <n v="-12.0784"/>
    <x v="4"/>
    <x v="5"/>
  </r>
  <r>
    <s v="CA-2017-157854"/>
    <x v="403"/>
    <d v="2017-04-15T00:00:00"/>
    <x v="1"/>
    <s v="DM-13345"/>
    <s v="Denise Monton"/>
    <x v="1"/>
    <s v="United States"/>
    <x v="153"/>
    <x v="24"/>
    <x v="0"/>
    <s v="FUR-FU-10003832"/>
    <x v="0"/>
    <x v="3"/>
    <s v="Eldon Expressions Punched Metal &amp; Wood Desk Accessories, Black &amp; Cherry"/>
    <n v="56.28"/>
    <n v="6"/>
    <n v="15.7584"/>
    <x v="1"/>
    <x v="6"/>
  </r>
  <r>
    <s v="CA-2016-136371"/>
    <x v="331"/>
    <d v="2016-03-21T00:00:00"/>
    <x v="0"/>
    <s v="SV-20935"/>
    <s v="Susan Vittorini"/>
    <x v="0"/>
    <s v="United States"/>
    <x v="64"/>
    <x v="7"/>
    <x v="2"/>
    <s v="FUR-FU-10000409"/>
    <x v="0"/>
    <x v="3"/>
    <s v="GE 4 Foot Flourescent Tube, 40 Watt"/>
    <n v="14.98"/>
    <n v="1"/>
    <n v="6.8907999999999996"/>
    <x v="3"/>
    <x v="9"/>
  </r>
  <r>
    <s v="CA-2016-136371"/>
    <x v="331"/>
    <d v="2016-03-21T00:00:00"/>
    <x v="0"/>
    <s v="SV-20935"/>
    <s v="Susan Vittorini"/>
    <x v="0"/>
    <s v="United States"/>
    <x v="64"/>
    <x v="7"/>
    <x v="2"/>
    <s v="FUR-FU-10000221"/>
    <x v="0"/>
    <x v="3"/>
    <s v="Master Caster Door Stop, Brown"/>
    <n v="20.32"/>
    <n v="4"/>
    <n v="6.9088000000000003"/>
    <x v="3"/>
    <x v="9"/>
  </r>
  <r>
    <s v="CA-2016-128594"/>
    <x v="238"/>
    <d v="2016-08-29T00:00:00"/>
    <x v="2"/>
    <s v="DJ-13510"/>
    <s v="Don Jones"/>
    <x v="1"/>
    <s v="United States"/>
    <x v="53"/>
    <x v="2"/>
    <x v="1"/>
    <s v="FUR-CH-10001215"/>
    <x v="0"/>
    <x v="1"/>
    <s v="Global Troy Executive Leather Low-Back Tilter"/>
    <n v="1603.136"/>
    <n v="4"/>
    <n v="100.196"/>
    <x v="0"/>
    <x v="10"/>
  </r>
  <r>
    <s v="CA-2016-154690"/>
    <x v="404"/>
    <d v="2016-08-17T00:00:00"/>
    <x v="0"/>
    <s v="CC-12370"/>
    <s v="Christopher Conant"/>
    <x v="0"/>
    <s v="United States"/>
    <x v="160"/>
    <x v="30"/>
    <x v="0"/>
    <s v="FUR-CH-10000988"/>
    <x v="0"/>
    <x v="1"/>
    <s v="Hon Olson Stacker Stools"/>
    <n v="225.29599999999999"/>
    <n v="2"/>
    <n v="22.529599999999999"/>
    <x v="3"/>
    <x v="10"/>
  </r>
  <r>
    <s v="CA-2017-138975"/>
    <x v="405"/>
    <d v="2017-05-23T00:00:00"/>
    <x v="1"/>
    <s v="SC-20380"/>
    <s v="Shahid Collister"/>
    <x v="0"/>
    <s v="United States"/>
    <x v="182"/>
    <x v="24"/>
    <x v="0"/>
    <s v="FUR-BO-10004695"/>
    <x v="0"/>
    <x v="0"/>
    <s v="O'Sullivan 2-Door Barrister Bookcase in Odessa Pine"/>
    <n v="1628.82"/>
    <n v="9"/>
    <n v="374.62860000000001"/>
    <x v="4"/>
    <x v="7"/>
  </r>
  <r>
    <s v="CA-2017-143861"/>
    <x v="235"/>
    <d v="2017-06-19T00:00:00"/>
    <x v="1"/>
    <s v="LC-16885"/>
    <s v="Lena Creighton"/>
    <x v="0"/>
    <s v="United States"/>
    <x v="66"/>
    <x v="1"/>
    <x v="0"/>
    <s v="FUR-FU-10001546"/>
    <x v="0"/>
    <x v="3"/>
    <s v="Dana Swing-Arm Lamps"/>
    <n v="17.088000000000001"/>
    <n v="2"/>
    <n v="1.0680000000000001"/>
    <x v="1"/>
    <x v="2"/>
  </r>
  <r>
    <s v="CA-2014-148040"/>
    <x v="406"/>
    <d v="2014-03-26T00:00:00"/>
    <x v="1"/>
    <s v="BF-11275"/>
    <s v="Beth Fritzler"/>
    <x v="1"/>
    <s v="United States"/>
    <x v="104"/>
    <x v="22"/>
    <x v="1"/>
    <s v="FUR-CH-10001482"/>
    <x v="0"/>
    <x v="1"/>
    <s v="Office Star - Mesh Screen back chair with Vinyl seat"/>
    <n v="314.35199999999998"/>
    <n v="3"/>
    <n v="-35.364600000000003"/>
    <x v="4"/>
    <x v="9"/>
  </r>
  <r>
    <s v="US-2016-167339"/>
    <x v="407"/>
    <d v="2016-01-23T00:00:00"/>
    <x v="0"/>
    <s v="TD-20995"/>
    <s v="Tamara Dahlen"/>
    <x v="0"/>
    <s v="United States"/>
    <x v="53"/>
    <x v="2"/>
    <x v="1"/>
    <s v="FUR-CH-10004289"/>
    <x v="0"/>
    <x v="1"/>
    <s v="Global Super Steno Chair"/>
    <n v="153.56800000000001"/>
    <n v="2"/>
    <n v="-5.7587999999999999"/>
    <x v="3"/>
    <x v="8"/>
  </r>
  <r>
    <s v="US-2016-167339"/>
    <x v="407"/>
    <d v="2016-01-23T00:00:00"/>
    <x v="0"/>
    <s v="TD-20995"/>
    <s v="Tamara Dahlen"/>
    <x v="0"/>
    <s v="United States"/>
    <x v="53"/>
    <x v="2"/>
    <x v="1"/>
    <s v="FUR-CH-10000785"/>
    <x v="0"/>
    <x v="1"/>
    <s v="Global Ergonomic Managers Chair"/>
    <n v="1013.4880000000001"/>
    <n v="7"/>
    <n v="76.011600000000001"/>
    <x v="3"/>
    <x v="8"/>
  </r>
  <r>
    <s v="CA-2016-130799"/>
    <x v="367"/>
    <d v="2016-11-16T00:00:00"/>
    <x v="0"/>
    <s v="BK-11260"/>
    <s v="Berenike Kampe"/>
    <x v="0"/>
    <s v="United States"/>
    <x v="28"/>
    <x v="2"/>
    <x v="1"/>
    <s v="FUR-FU-10001852"/>
    <x v="0"/>
    <x v="3"/>
    <s v="Eldon Regeneration Recycled Desk Accessories, Smoke"/>
    <n v="6.96"/>
    <n v="4"/>
    <n v="2.2271999999999998"/>
    <x v="2"/>
    <x v="0"/>
  </r>
  <r>
    <s v="US-2016-159856"/>
    <x v="408"/>
    <d v="2016-10-22T00:00:00"/>
    <x v="1"/>
    <s v="EP-13915"/>
    <s v="Emily Phan"/>
    <x v="0"/>
    <s v="United States"/>
    <x v="183"/>
    <x v="22"/>
    <x v="1"/>
    <s v="FUR-CH-10003396"/>
    <x v="0"/>
    <x v="1"/>
    <s v="Global Deluxe Steno Chair"/>
    <n v="307.92"/>
    <n v="5"/>
    <n v="-34.640999999999998"/>
    <x v="4"/>
    <x v="1"/>
  </r>
  <r>
    <s v="CA-2014-142727"/>
    <x v="149"/>
    <d v="2014-05-01T00:00:00"/>
    <x v="0"/>
    <s v="HG-14845"/>
    <s v="Harry Greene"/>
    <x v="0"/>
    <s v="United States"/>
    <x v="184"/>
    <x v="35"/>
    <x v="0"/>
    <s v="FUR-CH-10002304"/>
    <x v="0"/>
    <x v="1"/>
    <s v="Global Stack Chair without Arms, Black"/>
    <n v="51.96"/>
    <n v="2"/>
    <n v="12.99"/>
    <x v="3"/>
    <x v="6"/>
  </r>
  <r>
    <s v="CA-2017-139913"/>
    <x v="409"/>
    <d v="2017-10-29T00:00:00"/>
    <x v="1"/>
    <s v="JC-16105"/>
    <s v="Julie Creighton"/>
    <x v="1"/>
    <s v="United States"/>
    <x v="77"/>
    <x v="7"/>
    <x v="2"/>
    <s v="FUR-FU-10000771"/>
    <x v="0"/>
    <x v="3"/>
    <s v="Eldon 200 Class Desk Accessories, Smoke"/>
    <n v="69.08"/>
    <n v="11"/>
    <n v="29.0136"/>
    <x v="6"/>
    <x v="1"/>
  </r>
  <r>
    <s v="US-2015-114839"/>
    <x v="12"/>
    <d v="2015-04-30T00:00:00"/>
    <x v="1"/>
    <s v="PW-19240"/>
    <s v="Pierre Wener"/>
    <x v="0"/>
    <s v="United States"/>
    <x v="6"/>
    <x v="5"/>
    <x v="3"/>
    <s v="FUR-CH-10004086"/>
    <x v="0"/>
    <x v="1"/>
    <s v="Hon 4070 Series Pagoda Armless Upholstered Stacking Chairs"/>
    <n v="408.42200000000003"/>
    <n v="2"/>
    <n v="-5.8346"/>
    <x v="4"/>
    <x v="6"/>
  </r>
  <r>
    <s v="CA-2016-153577"/>
    <x v="410"/>
    <d v="2016-07-01T00:00:00"/>
    <x v="1"/>
    <s v="KH-16330"/>
    <s v="Katharine Harms"/>
    <x v="1"/>
    <s v="United States"/>
    <x v="185"/>
    <x v="8"/>
    <x v="3"/>
    <s v="FUR-CH-10003981"/>
    <x v="0"/>
    <x v="1"/>
    <s v="Global Commerce Series Low-Back Swivel/Tilt Chairs"/>
    <n v="539.65800000000002"/>
    <n v="3"/>
    <n v="-7.7093999999999996"/>
    <x v="4"/>
    <x v="2"/>
  </r>
  <r>
    <s v="CA-2016-160129"/>
    <x v="411"/>
    <d v="2016-11-23T00:00:00"/>
    <x v="3"/>
    <s v="LS-17200"/>
    <s v="Luke Schmidt"/>
    <x v="1"/>
    <s v="United States"/>
    <x v="3"/>
    <x v="3"/>
    <x v="2"/>
    <s v="FUR-FU-10002088"/>
    <x v="0"/>
    <x v="3"/>
    <s v="Nu-Dell Float Frame 11 x 14 1/2"/>
    <n v="14.368"/>
    <n v="2"/>
    <n v="3.9512"/>
    <x v="7"/>
    <x v="0"/>
  </r>
  <r>
    <s v="CA-2016-160129"/>
    <x v="411"/>
    <d v="2016-11-23T00:00:00"/>
    <x v="3"/>
    <s v="LS-17200"/>
    <s v="Luke Schmidt"/>
    <x v="1"/>
    <s v="United States"/>
    <x v="3"/>
    <x v="3"/>
    <x v="2"/>
    <s v="FUR-FU-10003976"/>
    <x v="0"/>
    <x v="3"/>
    <s v="DAX Executive Solid Wood Document Frame, Desktop or Hang, Mahogany, 5 x 7"/>
    <n v="70.447999999999993"/>
    <n v="7"/>
    <n v="12.3284"/>
    <x v="7"/>
    <x v="0"/>
  </r>
  <r>
    <s v="CA-2014-157721"/>
    <x v="412"/>
    <d v="2014-09-05T00:00:00"/>
    <x v="2"/>
    <s v="JM-16195"/>
    <s v="Justin MacKendrick"/>
    <x v="0"/>
    <s v="United States"/>
    <x v="115"/>
    <x v="7"/>
    <x v="2"/>
    <s v="FUR-FU-10002116"/>
    <x v="0"/>
    <x v="3"/>
    <s v="Tenex Carpeted, Granite-Look or Clear Contemporary Contour Shape Chair Mats"/>
    <n v="70.709999999999994"/>
    <n v="1"/>
    <n v="4.9497"/>
    <x v="0"/>
    <x v="4"/>
  </r>
  <r>
    <s v="CA-2017-128629"/>
    <x v="413"/>
    <d v="2017-07-14T00:00:00"/>
    <x v="0"/>
    <s v="BP-11155"/>
    <s v="Becky Pak"/>
    <x v="0"/>
    <s v="United States"/>
    <x v="29"/>
    <x v="24"/>
    <x v="0"/>
    <s v="FUR-FU-10000771"/>
    <x v="0"/>
    <x v="3"/>
    <s v="Eldon 200 Class Desk Accessories, Smoke"/>
    <n v="18.84"/>
    <n v="3"/>
    <n v="7.9127999999999998"/>
    <x v="4"/>
    <x v="3"/>
  </r>
  <r>
    <s v="CA-2017-143434"/>
    <x v="414"/>
    <d v="2017-11-24T00:00:00"/>
    <x v="1"/>
    <s v="ME-17320"/>
    <s v="Maria Etezadi"/>
    <x v="2"/>
    <s v="United States"/>
    <x v="186"/>
    <x v="17"/>
    <x v="3"/>
    <s v="FUR-FU-10002597"/>
    <x v="0"/>
    <x v="3"/>
    <s v="C-Line Magnetic Cubicle Keepers, Clear Polypropylene"/>
    <n v="19.760000000000002"/>
    <n v="4"/>
    <n v="8.2992000000000008"/>
    <x v="6"/>
    <x v="0"/>
  </r>
  <r>
    <s v="CA-2015-168564"/>
    <x v="415"/>
    <d v="2015-08-08T00:00:00"/>
    <x v="3"/>
    <s v="TT-21220"/>
    <s v="Thomas Thornton"/>
    <x v="0"/>
    <s v="United States"/>
    <x v="28"/>
    <x v="2"/>
    <x v="1"/>
    <s v="FUR-CH-10000785"/>
    <x v="0"/>
    <x v="1"/>
    <s v="Global Ergonomic Managers Chair"/>
    <n v="144.78399999999999"/>
    <n v="1"/>
    <n v="10.8588"/>
    <x v="7"/>
    <x v="10"/>
  </r>
  <r>
    <s v="CA-2017-155880"/>
    <x v="416"/>
    <d v="2017-03-31T00:00:00"/>
    <x v="1"/>
    <s v="JD-16150"/>
    <s v="Justin Deggeller"/>
    <x v="1"/>
    <s v="United States"/>
    <x v="79"/>
    <x v="16"/>
    <x v="3"/>
    <s v="FUR-CH-10000422"/>
    <x v="0"/>
    <x v="1"/>
    <s v="Global Highback Leather Tilter in Burgundy"/>
    <n v="90.99"/>
    <n v="1"/>
    <n v="14.558400000000001"/>
    <x v="6"/>
    <x v="9"/>
  </r>
  <r>
    <s v="CA-2017-155880"/>
    <x v="416"/>
    <d v="2017-03-31T00:00:00"/>
    <x v="1"/>
    <s v="JD-16150"/>
    <s v="Justin Deggeller"/>
    <x v="1"/>
    <s v="United States"/>
    <x v="79"/>
    <x v="16"/>
    <x v="3"/>
    <s v="FUR-CH-10004675"/>
    <x v="0"/>
    <x v="1"/>
    <s v="Lifetime Advantage Folding Chairs, 4/Carton"/>
    <n v="1526.56"/>
    <n v="7"/>
    <n v="427.43680000000001"/>
    <x v="6"/>
    <x v="9"/>
  </r>
  <r>
    <s v="CA-2017-155880"/>
    <x v="416"/>
    <d v="2017-03-31T00:00:00"/>
    <x v="1"/>
    <s v="JD-16150"/>
    <s v="Justin Deggeller"/>
    <x v="1"/>
    <s v="United States"/>
    <x v="79"/>
    <x v="16"/>
    <x v="3"/>
    <s v="FUR-CH-10002880"/>
    <x v="0"/>
    <x v="1"/>
    <s v="Global High-Back Leather Tilter, Burgundy"/>
    <n v="368.97"/>
    <n v="3"/>
    <n v="40.5867"/>
    <x v="6"/>
    <x v="9"/>
  </r>
  <r>
    <s v="CA-2017-126242"/>
    <x v="49"/>
    <d v="2017-11-24T00:00:00"/>
    <x v="1"/>
    <s v="MC-18100"/>
    <s v="Mick Crebagga"/>
    <x v="0"/>
    <s v="United States"/>
    <x v="2"/>
    <x v="2"/>
    <x v="1"/>
    <s v="FUR-FU-10002685"/>
    <x v="0"/>
    <x v="3"/>
    <s v="Executive Impressions 13-1/2&quot; Indoor/Outdoor Wall Clock"/>
    <n v="18.7"/>
    <n v="1"/>
    <n v="7.1059999999999999"/>
    <x v="2"/>
    <x v="0"/>
  </r>
  <r>
    <s v="CA-2016-166443"/>
    <x v="114"/>
    <d v="2016-11-05T00:00:00"/>
    <x v="2"/>
    <s v="LH-17020"/>
    <s v="Lisa Hazard"/>
    <x v="0"/>
    <s v="United States"/>
    <x v="28"/>
    <x v="2"/>
    <x v="1"/>
    <s v="FUR-FU-10004020"/>
    <x v="0"/>
    <x v="3"/>
    <s v="Advantus Panel Wall Acrylic Frame"/>
    <n v="38.29"/>
    <n v="7"/>
    <n v="16.464700000000001"/>
    <x v="5"/>
    <x v="0"/>
  </r>
  <r>
    <s v="CA-2017-169859"/>
    <x v="417"/>
    <d v="2017-12-18T00:00:00"/>
    <x v="1"/>
    <s v="MP-18175"/>
    <s v="Mike Pelletier"/>
    <x v="2"/>
    <s v="United States"/>
    <x v="53"/>
    <x v="2"/>
    <x v="1"/>
    <s v="FUR-FU-10004963"/>
    <x v="0"/>
    <x v="3"/>
    <s v="Eldon 400 Class Desk Accessories, Black Carbon"/>
    <n v="26.25"/>
    <n v="3"/>
    <n v="11.025"/>
    <x v="4"/>
    <x v="5"/>
  </r>
  <r>
    <s v="CA-2017-134915"/>
    <x v="418"/>
    <d v="2017-11-12T00:00:00"/>
    <x v="3"/>
    <s v="EM-14140"/>
    <s v="Eugene Moren"/>
    <x v="2"/>
    <s v="United States"/>
    <x v="110"/>
    <x v="22"/>
    <x v="1"/>
    <s v="FUR-CH-10004875"/>
    <x v="0"/>
    <x v="1"/>
    <s v="Harbour Creations 67200 Series Stacking Chairs"/>
    <n v="113.88800000000001"/>
    <n v="2"/>
    <n v="9.9651999999999994"/>
    <x v="7"/>
    <x v="0"/>
  </r>
  <r>
    <s v="CA-2017-134915"/>
    <x v="418"/>
    <d v="2017-11-12T00:00:00"/>
    <x v="3"/>
    <s v="EM-14140"/>
    <s v="Eugene Moren"/>
    <x v="2"/>
    <s v="United States"/>
    <x v="110"/>
    <x v="22"/>
    <x v="1"/>
    <s v="FUR-FU-10000305"/>
    <x v="0"/>
    <x v="3"/>
    <s v="Tenex V2T-RE Standard Weight Series Chair Mat, 45&quot; x 53&quot;, Lip 25&quot; x 12&quot;"/>
    <n v="113.568"/>
    <n v="2"/>
    <n v="-5.6783999999999999"/>
    <x v="7"/>
    <x v="0"/>
  </r>
  <r>
    <s v="CA-2017-123638"/>
    <x v="419"/>
    <d v="2017-07-04T00:00:00"/>
    <x v="1"/>
    <s v="MA-17995"/>
    <s v="Michelle Arnett"/>
    <x v="2"/>
    <s v="United States"/>
    <x v="115"/>
    <x v="7"/>
    <x v="2"/>
    <s v="FUR-CH-10002647"/>
    <x v="0"/>
    <x v="1"/>
    <s v="Situations Contoured Folding Chairs, 4/Set"/>
    <n v="191.64599999999999"/>
    <n v="3"/>
    <n v="31.940999999999999"/>
    <x v="1"/>
    <x v="2"/>
  </r>
  <r>
    <s v="CA-2017-137428"/>
    <x v="420"/>
    <d v="2017-12-21T00:00:00"/>
    <x v="0"/>
    <s v="AY-10555"/>
    <s v="Andy Yotov"/>
    <x v="1"/>
    <s v="United States"/>
    <x v="64"/>
    <x v="2"/>
    <x v="1"/>
    <s v="FUR-CH-10002774"/>
    <x v="0"/>
    <x v="1"/>
    <s v="Global Deluxe Stacking Chair, Gray"/>
    <n v="81.567999999999998"/>
    <n v="2"/>
    <n v="9.1763999999999992"/>
    <x v="2"/>
    <x v="5"/>
  </r>
  <r>
    <s v="CA-2017-137428"/>
    <x v="420"/>
    <d v="2017-12-21T00:00:00"/>
    <x v="0"/>
    <s v="AY-10555"/>
    <s v="Andy Yotov"/>
    <x v="1"/>
    <s v="United States"/>
    <x v="64"/>
    <x v="2"/>
    <x v="1"/>
    <s v="FUR-CH-10003817"/>
    <x v="0"/>
    <x v="1"/>
    <s v="Global Value Steno Chair, Gray"/>
    <n v="97.183999999999997"/>
    <n v="2"/>
    <n v="6.0739999999999998"/>
    <x v="2"/>
    <x v="5"/>
  </r>
  <r>
    <s v="CA-2017-137428"/>
    <x v="420"/>
    <d v="2017-12-21T00:00:00"/>
    <x v="0"/>
    <s v="AY-10555"/>
    <s v="Andy Yotov"/>
    <x v="1"/>
    <s v="United States"/>
    <x v="64"/>
    <x v="2"/>
    <x v="1"/>
    <s v="FUR-FU-10002445"/>
    <x v="0"/>
    <x v="3"/>
    <s v="DAX Two-Tone Rosewood/Black Document Frame, Desktop, 5 x 7"/>
    <n v="18.96"/>
    <n v="2"/>
    <n v="7.5839999999999996"/>
    <x v="2"/>
    <x v="5"/>
  </r>
  <r>
    <s v="CA-2014-162866"/>
    <x v="421"/>
    <d v="2014-12-31T00:00:00"/>
    <x v="1"/>
    <s v="Co-12640"/>
    <s v="Corey-Lock"/>
    <x v="0"/>
    <s v="United States"/>
    <x v="187"/>
    <x v="8"/>
    <x v="3"/>
    <s v="FUR-FU-10001473"/>
    <x v="0"/>
    <x v="3"/>
    <s v="DAX Wood Document Frame"/>
    <n v="32.951999999999998"/>
    <n v="6"/>
    <n v="-19.7712"/>
    <x v="4"/>
    <x v="5"/>
  </r>
  <r>
    <s v="CA-2017-167941"/>
    <x v="200"/>
    <d v="2017-11-09T00:00:00"/>
    <x v="0"/>
    <s v="JF-15565"/>
    <s v="Jill Fjeld"/>
    <x v="0"/>
    <s v="United States"/>
    <x v="160"/>
    <x v="30"/>
    <x v="0"/>
    <s v="FUR-FU-10004671"/>
    <x v="0"/>
    <x v="3"/>
    <s v="Executive Impressions 12&quot; Wall Clock"/>
    <n v="28.271999999999998"/>
    <n v="2"/>
    <n v="6.3612000000000002"/>
    <x v="0"/>
    <x v="0"/>
  </r>
  <r>
    <s v="CA-2015-137512"/>
    <x v="422"/>
    <d v="2015-05-12T00:00:00"/>
    <x v="1"/>
    <s v="AG-10675"/>
    <s v="Anna Gayman"/>
    <x v="0"/>
    <s v="United States"/>
    <x v="188"/>
    <x v="5"/>
    <x v="3"/>
    <s v="FUR-TA-10001095"/>
    <x v="0"/>
    <x v="2"/>
    <s v="Chromcraft Round Conference Tables"/>
    <n v="244.006"/>
    <n v="2"/>
    <n v="-31.372199999999999"/>
    <x v="2"/>
    <x v="7"/>
  </r>
  <r>
    <s v="CA-2017-139773"/>
    <x v="423"/>
    <d v="2017-12-04T00:00:00"/>
    <x v="3"/>
    <s v="DV-13045"/>
    <s v="Darrin Van Huff"/>
    <x v="1"/>
    <s v="United States"/>
    <x v="3"/>
    <x v="3"/>
    <x v="2"/>
    <s v="FUR-CH-10001797"/>
    <x v="0"/>
    <x v="1"/>
    <s v="Safco Chair Connectors, 6/Carton"/>
    <n v="188.55199999999999"/>
    <n v="7"/>
    <n v="-2.6936"/>
    <x v="7"/>
    <x v="5"/>
  </r>
  <r>
    <s v="CA-2014-109232"/>
    <x v="424"/>
    <d v="2014-01-16T00:00:00"/>
    <x v="0"/>
    <s v="ND-18370"/>
    <s v="Natalie DeCherney"/>
    <x v="0"/>
    <s v="United States"/>
    <x v="189"/>
    <x v="10"/>
    <x v="0"/>
    <s v="FUR-CH-10000422"/>
    <x v="0"/>
    <x v="1"/>
    <s v="Global Highback Leather Tilter in Burgundy"/>
    <n v="545.94000000000005"/>
    <n v="6"/>
    <n v="87.350399999999993"/>
    <x v="0"/>
    <x v="8"/>
  </r>
  <r>
    <s v="CA-2015-139850"/>
    <x v="425"/>
    <d v="2015-06-17T00:00:00"/>
    <x v="1"/>
    <s v="GB-14575"/>
    <s v="Giulietta Baptist"/>
    <x v="0"/>
    <s v="United States"/>
    <x v="3"/>
    <x v="3"/>
    <x v="2"/>
    <s v="FUR-FU-10003623"/>
    <x v="0"/>
    <x v="3"/>
    <s v="DataProducts Ampli Magnifier Task Lamp, Black,"/>
    <n v="43.295999999999999"/>
    <n v="2"/>
    <n v="4.3296000000000001"/>
    <x v="2"/>
    <x v="2"/>
  </r>
  <r>
    <s v="CA-2014-131310"/>
    <x v="56"/>
    <d v="2014-07-18T00:00:00"/>
    <x v="1"/>
    <s v="CL-12565"/>
    <s v="Clay Ludtke"/>
    <x v="0"/>
    <s v="United States"/>
    <x v="15"/>
    <x v="13"/>
    <x v="1"/>
    <s v="FUR-CH-10001797"/>
    <x v="0"/>
    <x v="1"/>
    <s v="Safco Chair Connectors, 6/Carton"/>
    <n v="123.136"/>
    <n v="4"/>
    <n v="13.8528"/>
    <x v="6"/>
    <x v="3"/>
  </r>
  <r>
    <s v="US-2014-112872"/>
    <x v="387"/>
    <d v="2014-12-11T00:00:00"/>
    <x v="0"/>
    <s v="RC-19960"/>
    <s v="Ryan Crowe"/>
    <x v="0"/>
    <s v="United States"/>
    <x v="76"/>
    <x v="36"/>
    <x v="1"/>
    <s v="FUR-TA-10003238"/>
    <x v="0"/>
    <x v="2"/>
    <s v="Chromcraft Bull-Nose Wood 48&quot; x 96&quot; Rectangular Conference Tables"/>
    <n v="275.49"/>
    <n v="1"/>
    <n v="-170.8038"/>
    <x v="2"/>
    <x v="5"/>
  </r>
  <r>
    <s v="CA-2016-139269"/>
    <x v="426"/>
    <d v="2016-05-30T00:00:00"/>
    <x v="1"/>
    <s v="JB-16045"/>
    <s v="Julia Barnett"/>
    <x v="2"/>
    <s v="United States"/>
    <x v="29"/>
    <x v="24"/>
    <x v="0"/>
    <s v="FUR-FU-10000755"/>
    <x v="0"/>
    <x v="3"/>
    <s v="Eldon Expressions Mahogany Wood Desk Collection"/>
    <n v="24.96"/>
    <n v="4"/>
    <n v="6.24"/>
    <x v="2"/>
    <x v="7"/>
  </r>
  <r>
    <s v="CA-2014-138317"/>
    <x v="112"/>
    <d v="2014-06-25T00:00:00"/>
    <x v="1"/>
    <s v="NW-18400"/>
    <s v="Natalie Webber"/>
    <x v="0"/>
    <s v="United States"/>
    <x v="3"/>
    <x v="3"/>
    <x v="2"/>
    <s v="FUR-FU-10000550"/>
    <x v="0"/>
    <x v="3"/>
    <s v="Stacking Trays by OIC"/>
    <n v="3.984"/>
    <n v="1"/>
    <n v="0.64739999999999998"/>
    <x v="4"/>
    <x v="2"/>
  </r>
  <r>
    <s v="CA-2016-124772"/>
    <x v="28"/>
    <d v="2016-12-06T00:00:00"/>
    <x v="2"/>
    <s v="JG-15160"/>
    <s v="James Galang"/>
    <x v="0"/>
    <s v="United States"/>
    <x v="190"/>
    <x v="0"/>
    <x v="0"/>
    <s v="FUR-FU-10004748"/>
    <x v="0"/>
    <x v="3"/>
    <s v="Howard Miller 16&quot; Diameter Gallery Wall Clock"/>
    <n v="191.82"/>
    <n v="3"/>
    <n v="74.809799999999996"/>
    <x v="5"/>
    <x v="5"/>
  </r>
  <r>
    <s v="US-2015-138919"/>
    <x v="5"/>
    <d v="2015-09-21T00:00:00"/>
    <x v="1"/>
    <s v="LS-16975"/>
    <s v="Lindsay Shagiari"/>
    <x v="2"/>
    <s v="United States"/>
    <x v="13"/>
    <x v="7"/>
    <x v="2"/>
    <s v="FUR-TA-10004154"/>
    <x v="0"/>
    <x v="2"/>
    <s v="Riverside Furniture Oval Coffee Table, Oval End Table, End Table with Drawer"/>
    <n v="344.22"/>
    <n v="2"/>
    <n v="-103.26600000000001"/>
    <x v="4"/>
    <x v="4"/>
  </r>
  <r>
    <s v="US-2016-160528"/>
    <x v="427"/>
    <d v="2016-08-30T00:00:00"/>
    <x v="1"/>
    <s v="MH-18115"/>
    <s v="Mick Hernandez"/>
    <x v="2"/>
    <s v="United States"/>
    <x v="191"/>
    <x v="5"/>
    <x v="3"/>
    <s v="FUR-FU-10004973"/>
    <x v="0"/>
    <x v="3"/>
    <s v="Flat Face Poster Frame"/>
    <n v="22.608000000000001"/>
    <n v="3"/>
    <n v="-10.1736"/>
    <x v="1"/>
    <x v="10"/>
  </r>
  <r>
    <s v="CA-2015-123568"/>
    <x v="428"/>
    <d v="2015-11-14T00:00:00"/>
    <x v="1"/>
    <s v="SC-20095"/>
    <s v="Sanjit Chand"/>
    <x v="0"/>
    <s v="United States"/>
    <x v="192"/>
    <x v="4"/>
    <x v="1"/>
    <s v="FUR-FU-10004090"/>
    <x v="0"/>
    <x v="3"/>
    <s v="Executive Impressions 14&quot; Contract Wall Clock"/>
    <n v="66.69"/>
    <n v="3"/>
    <n v="22.0077"/>
    <x v="6"/>
    <x v="0"/>
  </r>
  <r>
    <s v="CA-2017-124674"/>
    <x v="429"/>
    <d v="2017-11-23T00:00:00"/>
    <x v="1"/>
    <s v="JB-16000"/>
    <s v="Joy Bell-"/>
    <x v="0"/>
    <s v="United States"/>
    <x v="193"/>
    <x v="5"/>
    <x v="3"/>
    <s v="FUR-BO-10002202"/>
    <x v="0"/>
    <x v="0"/>
    <s v="Atlantic Metals Mobile 2-Shelf Bookcases, Custom Colors"/>
    <n v="327.7328"/>
    <n v="2"/>
    <n v="-14.4588"/>
    <x v="6"/>
    <x v="0"/>
  </r>
  <r>
    <s v="CA-2017-169054"/>
    <x v="135"/>
    <d v="2017-04-26T00:00:00"/>
    <x v="1"/>
    <s v="MO-17800"/>
    <s v="Meg O'Connel"/>
    <x v="2"/>
    <s v="United States"/>
    <x v="3"/>
    <x v="3"/>
    <x v="2"/>
    <s v="FUR-FU-10001488"/>
    <x v="0"/>
    <x v="3"/>
    <s v="Tenex 46&quot; x 60&quot; Computer Anti-Static Chairmat, Rectangular Shaped"/>
    <n v="254.352"/>
    <n v="3"/>
    <n v="0"/>
    <x v="4"/>
    <x v="6"/>
  </r>
  <r>
    <s v="CA-2017-116855"/>
    <x v="430"/>
    <d v="2017-12-21T00:00:00"/>
    <x v="1"/>
    <s v="AI-10855"/>
    <s v="Arianne Irving"/>
    <x v="0"/>
    <s v="United States"/>
    <x v="180"/>
    <x v="25"/>
    <x v="0"/>
    <s v="FUR-CH-10003846"/>
    <x v="0"/>
    <x v="1"/>
    <s v="Hon Valutask Swivel Chairs"/>
    <n v="504.9"/>
    <n v="5"/>
    <n v="80.784000000000006"/>
    <x v="4"/>
    <x v="5"/>
  </r>
  <r>
    <s v="CA-2015-168480"/>
    <x v="231"/>
    <d v="2015-09-27T00:00:00"/>
    <x v="1"/>
    <s v="DM-12955"/>
    <s v="Dario Medina"/>
    <x v="1"/>
    <s v="United States"/>
    <x v="194"/>
    <x v="17"/>
    <x v="3"/>
    <s v="FUR-BO-10000468"/>
    <x v="0"/>
    <x v="0"/>
    <s v="O'Sullivan 2-Shelf Heavy-Duty Bookcases"/>
    <n v="194.32"/>
    <n v="4"/>
    <n v="31.091200000000001"/>
    <x v="6"/>
    <x v="4"/>
  </r>
  <r>
    <s v="US-2016-114293"/>
    <x v="431"/>
    <d v="2016-11-26T00:00:00"/>
    <x v="1"/>
    <s v="JH-16180"/>
    <s v="Justin Hirsh"/>
    <x v="0"/>
    <s v="United States"/>
    <x v="195"/>
    <x v="36"/>
    <x v="1"/>
    <s v="FUR-CH-10003833"/>
    <x v="0"/>
    <x v="1"/>
    <s v="Novimex Fabric Task Chair"/>
    <n v="195.136"/>
    <n v="4"/>
    <n v="-12.196"/>
    <x v="2"/>
    <x v="0"/>
  </r>
  <r>
    <s v="US-2015-123960"/>
    <x v="432"/>
    <d v="2015-06-16T00:00:00"/>
    <x v="1"/>
    <s v="BD-11605"/>
    <s v="Brian Dahlen"/>
    <x v="0"/>
    <s v="United States"/>
    <x v="91"/>
    <x v="35"/>
    <x v="0"/>
    <s v="FUR-FU-10004666"/>
    <x v="0"/>
    <x v="3"/>
    <s v="DAX Clear Channel Poster Frame"/>
    <n v="29.16"/>
    <n v="2"/>
    <n v="10.789199999999999"/>
    <x v="2"/>
    <x v="2"/>
  </r>
  <r>
    <s v="CA-2017-101749"/>
    <x v="433"/>
    <d v="2017-10-08T00:00:00"/>
    <x v="1"/>
    <s v="AS-10045"/>
    <s v="Aaron Smayling"/>
    <x v="1"/>
    <s v="United States"/>
    <x v="102"/>
    <x v="2"/>
    <x v="1"/>
    <s v="FUR-TA-10001520"/>
    <x v="0"/>
    <x v="2"/>
    <s v="Lesro Sheffield Collection Coffee Table, End Table, Center Table, Corner Table"/>
    <n v="171.28800000000001"/>
    <n v="3"/>
    <n v="-6.4233000000000002"/>
    <x v="2"/>
    <x v="1"/>
  </r>
  <r>
    <s v="US-2016-147991"/>
    <x v="399"/>
    <d v="2016-05-09T00:00:00"/>
    <x v="1"/>
    <s v="ZD-21925"/>
    <s v="Zuschuss Donatelli"/>
    <x v="0"/>
    <s v="United States"/>
    <x v="196"/>
    <x v="9"/>
    <x v="0"/>
    <s v="FUR-FU-10004270"/>
    <x v="0"/>
    <x v="3"/>
    <s v="Eldon Image Series Desk Accessories, Burgundy"/>
    <n v="16.72"/>
    <n v="5"/>
    <n v="3.3439999999999999"/>
    <x v="4"/>
    <x v="7"/>
  </r>
  <r>
    <s v="CA-2017-149559"/>
    <x v="91"/>
    <d v="2017-09-12T00:00:00"/>
    <x v="3"/>
    <s v="KF-16285"/>
    <s v="Karen Ferguson"/>
    <x v="2"/>
    <s v="United States"/>
    <x v="62"/>
    <x v="2"/>
    <x v="1"/>
    <s v="FUR-CH-10002320"/>
    <x v="0"/>
    <x v="1"/>
    <s v="Hon Pagoda Stacking Chairs"/>
    <n v="2054.2719999999999"/>
    <n v="8"/>
    <n v="256.78399999999999"/>
    <x v="5"/>
    <x v="4"/>
  </r>
  <r>
    <s v="CA-2017-121419"/>
    <x v="214"/>
    <d v="2017-04-04T00:00:00"/>
    <x v="2"/>
    <s v="TC-21475"/>
    <s v="Tony Chapman"/>
    <x v="2"/>
    <s v="United States"/>
    <x v="29"/>
    <x v="24"/>
    <x v="0"/>
    <s v="FUR-TA-10004534"/>
    <x v="0"/>
    <x v="2"/>
    <s v="Bevis 44 x 96 Conference Tables"/>
    <n v="411.8"/>
    <n v="2"/>
    <n v="70.006"/>
    <x v="3"/>
    <x v="6"/>
  </r>
  <r>
    <s v="US-2017-148054"/>
    <x v="434"/>
    <d v="2017-10-11T00:00:00"/>
    <x v="1"/>
    <s v="NZ-18565"/>
    <s v="Nick Zandusky"/>
    <x v="2"/>
    <s v="United States"/>
    <x v="197"/>
    <x v="42"/>
    <x v="1"/>
    <s v="FUR-FU-10003247"/>
    <x v="0"/>
    <x v="3"/>
    <s v="36X48 HARDFLOOR CHAIRMAT"/>
    <n v="41.96"/>
    <n v="2"/>
    <n v="2.9371999999999998"/>
    <x v="2"/>
    <x v="1"/>
  </r>
  <r>
    <s v="CA-2017-131492"/>
    <x v="66"/>
    <d v="2017-10-24T00:00:00"/>
    <x v="0"/>
    <s v="HH-15010"/>
    <s v="Hilary Holden"/>
    <x v="1"/>
    <s v="United States"/>
    <x v="28"/>
    <x v="2"/>
    <x v="1"/>
    <s v="FUR-FU-10003878"/>
    <x v="0"/>
    <x v="3"/>
    <s v="Linden 10&quot; Round Wall Clock, Black"/>
    <n v="30.56"/>
    <n v="2"/>
    <n v="10.3904"/>
    <x v="2"/>
    <x v="1"/>
  </r>
  <r>
    <s v="CA-2017-131492"/>
    <x v="66"/>
    <d v="2017-10-24T00:00:00"/>
    <x v="0"/>
    <s v="HH-15010"/>
    <s v="Hilary Holden"/>
    <x v="1"/>
    <s v="United States"/>
    <x v="28"/>
    <x v="2"/>
    <x v="1"/>
    <s v="FUR-TA-10003837"/>
    <x v="0"/>
    <x v="2"/>
    <s v="Anderson Hickey Conga Table Tops &amp; Accessories"/>
    <n v="24.367999999999999"/>
    <n v="2"/>
    <n v="-3.3506"/>
    <x v="2"/>
    <x v="1"/>
  </r>
  <r>
    <s v="CA-2014-119375"/>
    <x v="317"/>
    <d v="2014-11-22T00:00:00"/>
    <x v="1"/>
    <s v="YC-21895"/>
    <s v="Yoseph Carroll"/>
    <x v="1"/>
    <s v="United States"/>
    <x v="19"/>
    <x v="14"/>
    <x v="2"/>
    <s v="FUR-FU-10002379"/>
    <x v="0"/>
    <x v="3"/>
    <s v="Eldon Econocleat Chair Mats for Low Pile Carpets"/>
    <n v="124.41"/>
    <n v="3"/>
    <n v="14.9292"/>
    <x v="2"/>
    <x v="0"/>
  </r>
  <r>
    <s v="CA-2015-126137"/>
    <x v="131"/>
    <d v="2015-10-08T00:00:00"/>
    <x v="1"/>
    <s v="BS-11755"/>
    <s v="Bruce Stewart"/>
    <x v="0"/>
    <s v="United States"/>
    <x v="2"/>
    <x v="2"/>
    <x v="1"/>
    <s v="FUR-BO-10004409"/>
    <x v="0"/>
    <x v="0"/>
    <s v="Safco Value Mate Series Steel Bookcases, Baked Enamel Finish on Steel, Gray"/>
    <n v="120.666"/>
    <n v="2"/>
    <n v="18.454799999999999"/>
    <x v="2"/>
    <x v="1"/>
  </r>
  <r>
    <s v="CA-2014-143903"/>
    <x v="435"/>
    <d v="2014-07-24T00:00:00"/>
    <x v="1"/>
    <s v="KM-16375"/>
    <s v="Katherine Murray"/>
    <x v="2"/>
    <s v="United States"/>
    <x v="144"/>
    <x v="5"/>
    <x v="3"/>
    <s v="FUR-FU-10003724"/>
    <x v="0"/>
    <x v="3"/>
    <s v="Westinghouse Clip-On Gooseneck Lamps"/>
    <n v="16.739999999999998"/>
    <n v="5"/>
    <n v="-14.228999999999999"/>
    <x v="4"/>
    <x v="3"/>
  </r>
  <r>
    <s v="CA-2014-143903"/>
    <x v="435"/>
    <d v="2014-07-24T00:00:00"/>
    <x v="1"/>
    <s v="KM-16375"/>
    <s v="Katherine Murray"/>
    <x v="2"/>
    <s v="United States"/>
    <x v="144"/>
    <x v="5"/>
    <x v="3"/>
    <s v="FUR-CH-10002024"/>
    <x v="0"/>
    <x v="1"/>
    <s v="HON 5400 Series Task Chairs for Big and Tall"/>
    <n v="981.37199999999996"/>
    <n v="2"/>
    <n v="-140.196"/>
    <x v="4"/>
    <x v="3"/>
  </r>
  <r>
    <s v="CA-2017-118773"/>
    <x v="436"/>
    <d v="2017-02-14T00:00:00"/>
    <x v="1"/>
    <s v="TP-21415"/>
    <s v="Tom Prescott"/>
    <x v="0"/>
    <s v="United States"/>
    <x v="6"/>
    <x v="5"/>
    <x v="3"/>
    <s v="FUR-FU-10000550"/>
    <x v="0"/>
    <x v="3"/>
    <s v="Stacking Trays by OIC"/>
    <n v="3.984"/>
    <n v="2"/>
    <n v="-2.6892"/>
    <x v="2"/>
    <x v="11"/>
  </r>
  <r>
    <s v="US-2017-159205"/>
    <x v="76"/>
    <d v="2017-04-02T00:00:00"/>
    <x v="0"/>
    <s v="DB-12910"/>
    <s v="Daniel Byrd"/>
    <x v="2"/>
    <s v="United States"/>
    <x v="0"/>
    <x v="0"/>
    <x v="0"/>
    <s v="FUR-FU-10001591"/>
    <x v="0"/>
    <x v="3"/>
    <s v="Advantus Panel Wall Certificate Holder - 8.5x11"/>
    <n v="61"/>
    <n v="5"/>
    <n v="25.62"/>
    <x v="3"/>
    <x v="9"/>
  </r>
  <r>
    <s v="CA-2017-135692"/>
    <x v="437"/>
    <d v="2017-05-01T00:00:00"/>
    <x v="1"/>
    <s v="CV-12805"/>
    <s v="Cynthia Voltz"/>
    <x v="1"/>
    <s v="United States"/>
    <x v="50"/>
    <x v="5"/>
    <x v="3"/>
    <s v="FUR-BO-10002268"/>
    <x v="0"/>
    <x v="0"/>
    <s v="Sauder Barrister Bookcases"/>
    <n v="220.26560000000001"/>
    <n v="4"/>
    <n v="-42.1096"/>
    <x v="4"/>
    <x v="6"/>
  </r>
  <r>
    <s v="CA-2017-131233"/>
    <x v="438"/>
    <d v="2017-04-19T00:00:00"/>
    <x v="1"/>
    <s v="CS-12355"/>
    <s v="Christine Sundaresam"/>
    <x v="0"/>
    <s v="United States"/>
    <x v="13"/>
    <x v="7"/>
    <x v="2"/>
    <s v="FUR-BO-10003441"/>
    <x v="0"/>
    <x v="0"/>
    <s v="Bush Westfield Collection Bookcases, Fully Assembled"/>
    <n v="242.352"/>
    <n v="3"/>
    <n v="9.0882000000000005"/>
    <x v="2"/>
    <x v="6"/>
  </r>
  <r>
    <s v="CA-2017-119578"/>
    <x v="313"/>
    <d v="2017-12-27T00:00:00"/>
    <x v="0"/>
    <s v="JG-15310"/>
    <s v="Jason Gross"/>
    <x v="1"/>
    <s v="United States"/>
    <x v="134"/>
    <x v="38"/>
    <x v="2"/>
    <s v="FUR-BO-10003660"/>
    <x v="0"/>
    <x v="0"/>
    <s v="Bush Cubix Collection Bookcases, Fully Assembled"/>
    <n v="220.98"/>
    <n v="1"/>
    <n v="50.825400000000002"/>
    <x v="2"/>
    <x v="5"/>
  </r>
  <r>
    <s v="CA-2016-150350"/>
    <x v="427"/>
    <d v="2016-08-30T00:00:00"/>
    <x v="1"/>
    <s v="MS-17770"/>
    <s v="Maxwell Schwartz"/>
    <x v="0"/>
    <s v="United States"/>
    <x v="15"/>
    <x v="13"/>
    <x v="1"/>
    <s v="FUR-CH-10001973"/>
    <x v="0"/>
    <x v="1"/>
    <s v="Office Star Flex Back Scooter Chair with White Frame"/>
    <n v="532.70399999999995"/>
    <n v="6"/>
    <n v="-39.952800000000003"/>
    <x v="1"/>
    <x v="10"/>
  </r>
  <r>
    <s v="CA-2015-121720"/>
    <x v="432"/>
    <d v="2015-06-12T00:00:00"/>
    <x v="2"/>
    <s v="JE-15610"/>
    <s v="Jim Epp"/>
    <x v="1"/>
    <s v="United States"/>
    <x v="49"/>
    <x v="1"/>
    <x v="0"/>
    <s v="FUR-CH-10003312"/>
    <x v="0"/>
    <x v="1"/>
    <s v="Hon 2090 ÒPillow SoftÓ Series Mid Back Swivel/Tilt Chairs"/>
    <n v="1123.92"/>
    <n v="5"/>
    <n v="-182.637"/>
    <x v="5"/>
    <x v="2"/>
  </r>
  <r>
    <s v="CA-2015-121720"/>
    <x v="432"/>
    <d v="2015-06-12T00:00:00"/>
    <x v="2"/>
    <s v="JE-15610"/>
    <s v="Jim Epp"/>
    <x v="1"/>
    <s v="United States"/>
    <x v="49"/>
    <x v="1"/>
    <x v="0"/>
    <s v="FUR-FU-10003464"/>
    <x v="0"/>
    <x v="3"/>
    <s v="Seth Thomas 8 1/2&quot; Cubicle Clock"/>
    <n v="48.671999999999997"/>
    <n v="3"/>
    <n v="7.3007999999999997"/>
    <x v="5"/>
    <x v="2"/>
  </r>
  <r>
    <s v="CA-2014-136399"/>
    <x v="439"/>
    <d v="2014-12-17T00:00:00"/>
    <x v="2"/>
    <s v="CC-12100"/>
    <s v="Chad Cunningham"/>
    <x v="2"/>
    <s v="United States"/>
    <x v="2"/>
    <x v="2"/>
    <x v="1"/>
    <s v="FUR-FU-10004090"/>
    <x v="0"/>
    <x v="3"/>
    <s v="Executive Impressions 14&quot; Contract Wall Clock"/>
    <n v="44.46"/>
    <n v="2"/>
    <n v="14.671799999999999"/>
    <x v="5"/>
    <x v="5"/>
  </r>
  <r>
    <s v="CA-2014-136399"/>
    <x v="439"/>
    <d v="2014-12-17T00:00:00"/>
    <x v="2"/>
    <s v="CC-12100"/>
    <s v="Chad Cunningham"/>
    <x v="2"/>
    <s v="United States"/>
    <x v="2"/>
    <x v="2"/>
    <x v="1"/>
    <s v="FUR-CH-10002602"/>
    <x v="0"/>
    <x v="1"/>
    <s v="DMI Arturo Collection Mission-style Design Wood Chair"/>
    <n v="241.56800000000001"/>
    <n v="2"/>
    <n v="18.117599999999999"/>
    <x v="5"/>
    <x v="5"/>
  </r>
  <r>
    <s v="CA-2014-107916"/>
    <x v="440"/>
    <d v="2014-08-26T00:00:00"/>
    <x v="2"/>
    <s v="JP-15460"/>
    <s v="Jennifer Patt"/>
    <x v="1"/>
    <s v="United States"/>
    <x v="64"/>
    <x v="7"/>
    <x v="2"/>
    <s v="FUR-FU-10004586"/>
    <x v="0"/>
    <x v="3"/>
    <s v="G.E. Longer-Life Indoor Recessed Floodlight Bulbs"/>
    <n v="13.28"/>
    <n v="2"/>
    <n v="6.3743999999999996"/>
    <x v="3"/>
    <x v="10"/>
  </r>
  <r>
    <s v="CA-2017-164168"/>
    <x v="418"/>
    <d v="2017-11-18T00:00:00"/>
    <x v="1"/>
    <s v="LS-16975"/>
    <s v="Lindsay Shagiari"/>
    <x v="2"/>
    <s v="United States"/>
    <x v="144"/>
    <x v="5"/>
    <x v="3"/>
    <s v="FUR-FU-10001756"/>
    <x v="0"/>
    <x v="3"/>
    <s v="Eldon Expressions Desk Accessory, Wood Photo Frame, Mahogany"/>
    <n v="22.847999999999999"/>
    <n v="3"/>
    <n v="-17.7072"/>
    <x v="6"/>
    <x v="0"/>
  </r>
  <r>
    <s v="US-2016-148110"/>
    <x v="26"/>
    <d v="2016-09-11T00:00:00"/>
    <x v="1"/>
    <s v="AR-10825"/>
    <s v="Anthony Rawles"/>
    <x v="1"/>
    <s v="United States"/>
    <x v="198"/>
    <x v="5"/>
    <x v="3"/>
    <s v="FUR-CH-10002647"/>
    <x v="0"/>
    <x v="1"/>
    <s v="Situations Contoured Folding Chairs, 4/Set"/>
    <n v="347.80200000000002"/>
    <n v="7"/>
    <n v="-24.843"/>
    <x v="6"/>
    <x v="4"/>
  </r>
  <r>
    <s v="CA-2017-131828"/>
    <x v="441"/>
    <d v="2017-02-13T00:00:00"/>
    <x v="0"/>
    <s v="CS-11845"/>
    <s v="Cari Sayre"/>
    <x v="1"/>
    <s v="United States"/>
    <x v="15"/>
    <x v="13"/>
    <x v="1"/>
    <s v="FUR-CH-10004495"/>
    <x v="0"/>
    <x v="1"/>
    <s v="Global Leather and Oak Executive Chair, Black"/>
    <n v="963.13599999999997"/>
    <n v="4"/>
    <n v="108.3528"/>
    <x v="3"/>
    <x v="11"/>
  </r>
  <r>
    <s v="CA-2015-147830"/>
    <x v="442"/>
    <d v="2015-12-18T00:00:00"/>
    <x v="2"/>
    <s v="NF-18385"/>
    <s v="Natalie Fritzler"/>
    <x v="0"/>
    <s v="United States"/>
    <x v="19"/>
    <x v="15"/>
    <x v="2"/>
    <s v="FUR-FU-10004091"/>
    <x v="0"/>
    <x v="3"/>
    <s v="Howard Miller 13&quot; Diameter Goldtone Round Wall Clock"/>
    <n v="262.86399999999998"/>
    <n v="7"/>
    <n v="69.001800000000003"/>
    <x v="0"/>
    <x v="5"/>
  </r>
  <r>
    <s v="CA-2015-139584"/>
    <x v="108"/>
    <d v="2015-08-28T00:00:00"/>
    <x v="1"/>
    <s v="EM-13810"/>
    <s v="Eleni McCrary"/>
    <x v="1"/>
    <s v="United States"/>
    <x v="13"/>
    <x v="7"/>
    <x v="2"/>
    <s v="FUR-TA-10001539"/>
    <x v="0"/>
    <x v="2"/>
    <s v="Chromcraft Rectangular Conference Tables"/>
    <n v="284.36399999999998"/>
    <n v="2"/>
    <n v="-75.830399999999997"/>
    <x v="4"/>
    <x v="10"/>
  </r>
  <r>
    <s v="CA-2016-146682"/>
    <x v="443"/>
    <d v="2016-10-31T00:00:00"/>
    <x v="2"/>
    <s v="KW-16435"/>
    <s v="Katrina Willman"/>
    <x v="0"/>
    <s v="United States"/>
    <x v="140"/>
    <x v="17"/>
    <x v="3"/>
    <s v="FUR-FU-10002671"/>
    <x v="0"/>
    <x v="3"/>
    <s v="Electrix 20W Halogen Replacement Bulb for Zoom-In Desk Lamp"/>
    <n v="67"/>
    <n v="5"/>
    <n v="32.159999999999997"/>
    <x v="3"/>
    <x v="1"/>
  </r>
  <r>
    <s v="CA-2016-138695"/>
    <x v="444"/>
    <d v="2016-06-03T00:00:00"/>
    <x v="1"/>
    <s v="KC-16675"/>
    <s v="Kimberly Carter"/>
    <x v="1"/>
    <s v="United States"/>
    <x v="199"/>
    <x v="1"/>
    <x v="0"/>
    <s v="FUR-CH-10003833"/>
    <x v="0"/>
    <x v="1"/>
    <s v="Novimex Fabric Task Chair"/>
    <n v="390.27199999999999"/>
    <n v="8"/>
    <n v="-24.391999999999999"/>
    <x v="6"/>
    <x v="7"/>
  </r>
  <r>
    <s v="US-2016-133879"/>
    <x v="445"/>
    <d v="2016-03-28T00:00:00"/>
    <x v="1"/>
    <s v="KT-16465"/>
    <s v="Kean Takahito"/>
    <x v="0"/>
    <s v="United States"/>
    <x v="9"/>
    <x v="8"/>
    <x v="3"/>
    <s v="FUR-CH-10000665"/>
    <x v="0"/>
    <x v="1"/>
    <s v="Global Airflow Leather Mesh Back Chair, Black"/>
    <n v="528.42999999999995"/>
    <n v="5"/>
    <n v="0"/>
    <x v="1"/>
    <x v="9"/>
  </r>
  <r>
    <s v="US-2017-132059"/>
    <x v="204"/>
    <d v="2017-09-29T00:00:00"/>
    <x v="1"/>
    <s v="AP-10915"/>
    <s v="Arthur Prichep"/>
    <x v="0"/>
    <s v="United States"/>
    <x v="200"/>
    <x v="12"/>
    <x v="1"/>
    <s v="FUR-BO-10001811"/>
    <x v="0"/>
    <x v="0"/>
    <s v="Atlantic Metals Mobile 5-Shelf Bookcases, Custom Colors"/>
    <n v="180.58799999999999"/>
    <n v="2"/>
    <n v="-240.78399999999999"/>
    <x v="6"/>
    <x v="4"/>
  </r>
  <r>
    <s v="CA-2017-105235"/>
    <x v="446"/>
    <d v="2017-12-11T00:00:00"/>
    <x v="1"/>
    <s v="SM-20950"/>
    <s v="Suzanne McNair"/>
    <x v="1"/>
    <s v="United States"/>
    <x v="13"/>
    <x v="7"/>
    <x v="2"/>
    <s v="FUR-FU-10001487"/>
    <x v="0"/>
    <x v="3"/>
    <s v="Eldon Expressions Wood and Plastic Desk Accessories, Cherry Wood"/>
    <n v="20.94"/>
    <n v="3"/>
    <n v="6.0726000000000004"/>
    <x v="6"/>
    <x v="5"/>
  </r>
  <r>
    <s v="CA-2017-105235"/>
    <x v="446"/>
    <d v="2017-12-11T00:00:00"/>
    <x v="1"/>
    <s v="SM-20950"/>
    <s v="Suzanne McNair"/>
    <x v="1"/>
    <s v="United States"/>
    <x v="13"/>
    <x v="7"/>
    <x v="2"/>
    <s v="FUR-FU-10000521"/>
    <x v="0"/>
    <x v="3"/>
    <s v="Seth Thomas 14&quot; Putty-Colored Wall Clock"/>
    <n v="58.68"/>
    <n v="2"/>
    <n v="18.190799999999999"/>
    <x v="6"/>
    <x v="5"/>
  </r>
  <r>
    <s v="CA-2014-164224"/>
    <x v="447"/>
    <d v="2014-05-20T00:00:00"/>
    <x v="0"/>
    <s v="TT-21070"/>
    <s v="Ted Trevino"/>
    <x v="0"/>
    <s v="United States"/>
    <x v="40"/>
    <x v="15"/>
    <x v="2"/>
    <s v="FUR-FU-10000308"/>
    <x v="0"/>
    <x v="3"/>
    <s v="Deflect-o Glass Clear Studded Chair Mats"/>
    <n v="149.232"/>
    <n v="3"/>
    <n v="3.7307999999999999"/>
    <x v="3"/>
    <x v="7"/>
  </r>
  <r>
    <s v="CA-2014-158372"/>
    <x v="448"/>
    <d v="2014-11-16T00:00:00"/>
    <x v="1"/>
    <s v="RD-19900"/>
    <s v="Ruben Dartt"/>
    <x v="0"/>
    <s v="United States"/>
    <x v="53"/>
    <x v="2"/>
    <x v="1"/>
    <s v="FUR-FU-10000397"/>
    <x v="0"/>
    <x v="3"/>
    <s v="Luxo Economy Swing Arm Lamp"/>
    <n v="39.880000000000003"/>
    <n v="2"/>
    <n v="11.166399999999999"/>
    <x v="6"/>
    <x v="0"/>
  </r>
  <r>
    <s v="CA-2014-158372"/>
    <x v="448"/>
    <d v="2014-11-16T00:00:00"/>
    <x v="1"/>
    <s v="RD-19900"/>
    <s v="Ruben Dartt"/>
    <x v="0"/>
    <s v="United States"/>
    <x v="53"/>
    <x v="2"/>
    <x v="1"/>
    <s v="FUR-FU-10001867"/>
    <x v="0"/>
    <x v="3"/>
    <s v="Eldon Expressions Punched Metal &amp; Wood Desk Accessories, Pewter &amp; Cherry"/>
    <n v="53.2"/>
    <n v="5"/>
    <n v="14.896000000000001"/>
    <x v="6"/>
    <x v="0"/>
  </r>
  <r>
    <s v="CA-2017-131625"/>
    <x v="449"/>
    <d v="2017-09-05T00:00:00"/>
    <x v="0"/>
    <s v="BN-11515"/>
    <s v="Bradley Nguyen"/>
    <x v="0"/>
    <s v="United States"/>
    <x v="13"/>
    <x v="7"/>
    <x v="2"/>
    <s v="FUR-FU-10004960"/>
    <x v="0"/>
    <x v="3"/>
    <s v="Seth Thomas 12&quot; Clock w/ Goldtone Case"/>
    <n v="114.9"/>
    <n v="5"/>
    <n v="39.066000000000003"/>
    <x v="4"/>
    <x v="4"/>
  </r>
  <r>
    <s v="CA-2016-140746"/>
    <x v="450"/>
    <d v="2016-01-15T00:00:00"/>
    <x v="3"/>
    <s v="RC-19825"/>
    <s v="Roy Collins"/>
    <x v="0"/>
    <s v="United States"/>
    <x v="130"/>
    <x v="19"/>
    <x v="2"/>
    <s v="FUR-TA-10002903"/>
    <x v="0"/>
    <x v="2"/>
    <s v="Bevis Round Bullnose 29&quot; High Table Top"/>
    <n v="181.797"/>
    <n v="1"/>
    <n v="-15.582599999999999"/>
    <x v="7"/>
    <x v="8"/>
  </r>
  <r>
    <s v="US-2016-127971"/>
    <x v="47"/>
    <d v="2016-11-27T00:00:00"/>
    <x v="1"/>
    <s v="DW-13195"/>
    <s v="David Wiener"/>
    <x v="1"/>
    <s v="United States"/>
    <x v="6"/>
    <x v="5"/>
    <x v="3"/>
    <s v="FUR-CH-10003774"/>
    <x v="0"/>
    <x v="1"/>
    <s v="Global Wood Trimmed Manager's Task Chair, Khaki"/>
    <n v="318.43"/>
    <n v="5"/>
    <n v="-77.332999999999998"/>
    <x v="1"/>
    <x v="0"/>
  </r>
  <r>
    <s v="US-2016-127971"/>
    <x v="47"/>
    <d v="2016-11-27T00:00:00"/>
    <x v="1"/>
    <s v="DW-13195"/>
    <s v="David Wiener"/>
    <x v="1"/>
    <s v="United States"/>
    <x v="6"/>
    <x v="5"/>
    <x v="3"/>
    <s v="FUR-FU-10000023"/>
    <x v="0"/>
    <x v="3"/>
    <s v="Eldon Wave Desk Accessories"/>
    <n v="7.0679999999999996"/>
    <n v="3"/>
    <n v="-2.8271999999999999"/>
    <x v="1"/>
    <x v="0"/>
  </r>
  <r>
    <s v="CA-2017-113355"/>
    <x v="451"/>
    <d v="2017-12-05T00:00:00"/>
    <x v="1"/>
    <s v="SJ-20215"/>
    <s v="Sarah Jordon"/>
    <x v="0"/>
    <s v="United States"/>
    <x v="141"/>
    <x v="5"/>
    <x v="3"/>
    <s v="FUR-CH-10002602"/>
    <x v="0"/>
    <x v="1"/>
    <s v="DMI Arturo Collection Mission-style Design Wood Chair"/>
    <n v="317.05799999999999"/>
    <n v="3"/>
    <n v="-18.117599999999999"/>
    <x v="4"/>
    <x v="5"/>
  </r>
  <r>
    <s v="CA-2016-159730"/>
    <x v="334"/>
    <d v="2016-09-21T00:00:00"/>
    <x v="1"/>
    <s v="SJ-20125"/>
    <s v="Sanjit Jacobs"/>
    <x v="2"/>
    <s v="United States"/>
    <x v="15"/>
    <x v="13"/>
    <x v="1"/>
    <s v="FUR-CH-10004875"/>
    <x v="0"/>
    <x v="1"/>
    <s v="Harbour Creations 67200 Series Stacking Chairs"/>
    <n v="113.88800000000001"/>
    <n v="2"/>
    <n v="9.9651999999999994"/>
    <x v="4"/>
    <x v="4"/>
  </r>
  <r>
    <s v="CA-2017-119389"/>
    <x v="452"/>
    <d v="2017-04-19T00:00:00"/>
    <x v="2"/>
    <s v="BG-11740"/>
    <s v="Bruce Geld"/>
    <x v="0"/>
    <s v="United States"/>
    <x v="3"/>
    <x v="3"/>
    <x v="2"/>
    <s v="FUR-FU-10001473"/>
    <x v="0"/>
    <x v="3"/>
    <s v="Eldon Executive Woodline II Desk Accessories, Mahogany"/>
    <n v="60.311999999999998"/>
    <n v="3"/>
    <n v="5.2773000000000003"/>
    <x v="3"/>
    <x v="6"/>
  </r>
  <r>
    <s v="US-2016-161844"/>
    <x v="453"/>
    <d v="2016-12-14T00:00:00"/>
    <x v="0"/>
    <s v="DK-12835"/>
    <s v="Damala Kotsonis"/>
    <x v="1"/>
    <s v="United States"/>
    <x v="20"/>
    <x v="9"/>
    <x v="0"/>
    <s v="FUR-TA-10001676"/>
    <x v="0"/>
    <x v="2"/>
    <s v="Hon 61000 Series Interactive Training Tables"/>
    <n v="79.974000000000004"/>
    <n v="3"/>
    <n v="-29.323799999999999"/>
    <x v="2"/>
    <x v="5"/>
  </r>
  <r>
    <s v="CA-2015-146038"/>
    <x v="289"/>
    <d v="2015-02-16T00:00:00"/>
    <x v="1"/>
    <s v="SJ-20215"/>
    <s v="Sarah Jordon"/>
    <x v="0"/>
    <s v="United States"/>
    <x v="2"/>
    <x v="2"/>
    <x v="1"/>
    <s v="FUR-CH-10002774"/>
    <x v="0"/>
    <x v="1"/>
    <s v="Global Deluxe Stacking Chair, Gray"/>
    <n v="203.92"/>
    <n v="5"/>
    <n v="22.940999999999999"/>
    <x v="1"/>
    <x v="11"/>
  </r>
  <r>
    <s v="CA-2014-159478"/>
    <x v="454"/>
    <d v="2014-10-06T00:00:00"/>
    <x v="1"/>
    <s v="MH-17785"/>
    <s v="Maya Herman"/>
    <x v="1"/>
    <s v="United States"/>
    <x v="13"/>
    <x v="7"/>
    <x v="2"/>
    <s v="FUR-FU-10000221"/>
    <x v="0"/>
    <x v="3"/>
    <s v="Master Caster Door Stop, Brown"/>
    <n v="15.24"/>
    <n v="3"/>
    <n v="5.1816000000000004"/>
    <x v="6"/>
    <x v="4"/>
  </r>
  <r>
    <s v="CA-2014-106264"/>
    <x v="22"/>
    <d v="2014-12-30T00:00:00"/>
    <x v="1"/>
    <s v="CK-12595"/>
    <s v="Clytie Kelty"/>
    <x v="0"/>
    <s v="United States"/>
    <x v="53"/>
    <x v="2"/>
    <x v="1"/>
    <s v="FUR-FU-10001852"/>
    <x v="0"/>
    <x v="3"/>
    <s v="Eldon Regeneration Recycled Desk Accessories, Smoke"/>
    <n v="3.48"/>
    <n v="2"/>
    <n v="1.1135999999999999"/>
    <x v="4"/>
    <x v="5"/>
  </r>
  <r>
    <s v="US-2014-159926"/>
    <x v="356"/>
    <d v="2014-11-22T00:00:00"/>
    <x v="1"/>
    <s v="CS-11950"/>
    <s v="Carlos Soltero"/>
    <x v="0"/>
    <s v="United States"/>
    <x v="3"/>
    <x v="3"/>
    <x v="2"/>
    <s v="FUR-FU-10001473"/>
    <x v="0"/>
    <x v="3"/>
    <s v="Eldon Executive Woodline II Desk Accessories, Mahogany"/>
    <n v="60.311999999999998"/>
    <n v="3"/>
    <n v="5.2773000000000003"/>
    <x v="4"/>
    <x v="0"/>
  </r>
  <r>
    <s v="CA-2016-162747"/>
    <x v="174"/>
    <d v="2016-03-25T00:00:00"/>
    <x v="0"/>
    <s v="AH-10030"/>
    <s v="Aaron Hawkins"/>
    <x v="1"/>
    <s v="United States"/>
    <x v="201"/>
    <x v="21"/>
    <x v="0"/>
    <s v="FUR-FU-10003691"/>
    <x v="0"/>
    <x v="3"/>
    <s v="Eldon Image Series Desk Accessories, Ebony"/>
    <n v="86.45"/>
    <n v="7"/>
    <n v="38.037999999999997"/>
    <x v="2"/>
    <x v="9"/>
  </r>
  <r>
    <s v="US-2014-133130"/>
    <x v="52"/>
    <d v="2014-10-01T00:00:00"/>
    <x v="1"/>
    <s v="TH-21100"/>
    <s v="Thea Hendricks"/>
    <x v="0"/>
    <s v="United States"/>
    <x v="53"/>
    <x v="2"/>
    <x v="1"/>
    <s v="FUR-CH-10002602"/>
    <x v="0"/>
    <x v="1"/>
    <s v="DMI Arturo Collection Mission-style Design Wood Chair"/>
    <n v="603.91999999999996"/>
    <n v="5"/>
    <n v="45.293999999999997"/>
    <x v="4"/>
    <x v="4"/>
  </r>
  <r>
    <s v="CA-2017-169978"/>
    <x v="455"/>
    <d v="2017-12-28T00:00:00"/>
    <x v="1"/>
    <s v="HG-15025"/>
    <s v="Hunter Glantz"/>
    <x v="0"/>
    <s v="United States"/>
    <x v="64"/>
    <x v="7"/>
    <x v="2"/>
    <s v="FUR-CH-10002602"/>
    <x v="0"/>
    <x v="1"/>
    <s v="DMI Arturo Collection Mission-style Design Wood Chair"/>
    <n v="271.76400000000001"/>
    <n v="2"/>
    <n v="48.313600000000001"/>
    <x v="4"/>
    <x v="5"/>
  </r>
  <r>
    <s v="CA-2017-161739"/>
    <x v="219"/>
    <d v="2017-11-15T00:00:00"/>
    <x v="0"/>
    <s v="EB-13750"/>
    <s v="Edward Becker"/>
    <x v="1"/>
    <s v="United States"/>
    <x v="82"/>
    <x v="5"/>
    <x v="3"/>
    <s v="FUR-FU-10001468"/>
    <x v="0"/>
    <x v="3"/>
    <s v="Tenex Antistatic Computer Chair Mats"/>
    <n v="341.96"/>
    <n v="5"/>
    <n v="-427.45"/>
    <x v="2"/>
    <x v="0"/>
  </r>
  <r>
    <s v="CA-2014-134551"/>
    <x v="191"/>
    <d v="2014-12-25T00:00:00"/>
    <x v="1"/>
    <s v="TS-21505"/>
    <s v="Tony Sayre"/>
    <x v="0"/>
    <s v="United States"/>
    <x v="11"/>
    <x v="9"/>
    <x v="0"/>
    <s v="FUR-CH-10004287"/>
    <x v="0"/>
    <x v="1"/>
    <s v="SAFCO Arco Folding Chair"/>
    <n v="662.88"/>
    <n v="3"/>
    <n v="74.573999999999998"/>
    <x v="2"/>
    <x v="5"/>
  </r>
  <r>
    <s v="CA-2015-120810"/>
    <x v="456"/>
    <d v="2015-07-27T00:00:00"/>
    <x v="1"/>
    <s v="TH-21550"/>
    <s v="Tracy Hopkins"/>
    <x v="2"/>
    <s v="United States"/>
    <x v="13"/>
    <x v="7"/>
    <x v="2"/>
    <s v="FUR-FU-10002253"/>
    <x v="0"/>
    <x v="3"/>
    <s v="Howard Miller 13&quot; Diameter Pewter Finish Round Wall Clock"/>
    <n v="128.82"/>
    <n v="3"/>
    <n v="50.239800000000002"/>
    <x v="4"/>
    <x v="3"/>
  </r>
  <r>
    <s v="CA-2017-122595"/>
    <x v="417"/>
    <d v="2017-12-20T00:00:00"/>
    <x v="1"/>
    <s v="GM-14455"/>
    <s v="Gary Mitchum"/>
    <x v="2"/>
    <s v="United States"/>
    <x v="9"/>
    <x v="8"/>
    <x v="3"/>
    <s v="FUR-FU-10002963"/>
    <x v="0"/>
    <x v="3"/>
    <s v="Master Caster Door Stop, Gray"/>
    <n v="2.032"/>
    <n v="1"/>
    <n v="-1.3208"/>
    <x v="6"/>
    <x v="5"/>
  </r>
  <r>
    <s v="US-2017-109253"/>
    <x v="67"/>
    <d v="2017-08-22T00:00:00"/>
    <x v="2"/>
    <s v="PR-18880"/>
    <s v="Patrick Ryan"/>
    <x v="0"/>
    <s v="United States"/>
    <x v="121"/>
    <x v="2"/>
    <x v="1"/>
    <s v="FUR-FU-10000193"/>
    <x v="0"/>
    <x v="3"/>
    <s v="Tenex Chairmats For Use with Hard Floors"/>
    <n v="129.91999999999999"/>
    <n v="4"/>
    <n v="10.393599999999999"/>
    <x v="5"/>
    <x v="10"/>
  </r>
  <r>
    <s v="US-2017-109253"/>
    <x v="67"/>
    <d v="2017-08-22T00:00:00"/>
    <x v="2"/>
    <s v="PR-18880"/>
    <s v="Patrick Ryan"/>
    <x v="0"/>
    <s v="United States"/>
    <x v="121"/>
    <x v="2"/>
    <x v="1"/>
    <s v="FUR-TA-10001539"/>
    <x v="0"/>
    <x v="2"/>
    <s v="Chromcraft Rectangular Conference Tables"/>
    <n v="568.72799999999995"/>
    <n v="3"/>
    <n v="28.436399999999999"/>
    <x v="5"/>
    <x v="10"/>
  </r>
  <r>
    <s v="CA-2016-145982"/>
    <x v="457"/>
    <d v="2016-09-01T00:00:00"/>
    <x v="0"/>
    <s v="TB-21055"/>
    <s v="Ted Butterfield"/>
    <x v="0"/>
    <s v="United States"/>
    <x v="202"/>
    <x v="20"/>
    <x v="2"/>
    <s v="FUR-TA-10001307"/>
    <x v="0"/>
    <x v="2"/>
    <s v="SAFCO PlanMaster Heigh-Adjustable Drafting Table Base, 43w x 30d x 30-37h, Black"/>
    <n v="244.61500000000001"/>
    <n v="1"/>
    <n v="20.966999999999999"/>
    <x v="2"/>
    <x v="10"/>
  </r>
  <r>
    <s v="US-2014-134733"/>
    <x v="458"/>
    <d v="2014-09-28T00:00:00"/>
    <x v="1"/>
    <s v="BM-11650"/>
    <s v="Brian Moss"/>
    <x v="1"/>
    <s v="United States"/>
    <x v="53"/>
    <x v="2"/>
    <x v="1"/>
    <s v="FUR-BO-10002916"/>
    <x v="0"/>
    <x v="0"/>
    <s v="Rush Hierlooms Collection 1&quot; Thick Stackable Bookcases"/>
    <n v="435.99900000000002"/>
    <n v="3"/>
    <n v="20.517600000000002"/>
    <x v="2"/>
    <x v="4"/>
  </r>
  <r>
    <s v="US-2014-150434"/>
    <x v="459"/>
    <d v="2014-07-24T00:00:00"/>
    <x v="1"/>
    <s v="CA-12310"/>
    <s v="Christine Abelman"/>
    <x v="1"/>
    <s v="United States"/>
    <x v="203"/>
    <x v="19"/>
    <x v="2"/>
    <s v="FUR-TA-10004152"/>
    <x v="0"/>
    <x v="2"/>
    <s v="Barricks 18&quot; x 48&quot; Non-Folding Utility Table with Bottom Storage Shelf"/>
    <n v="70.56"/>
    <n v="1"/>
    <n v="-4.032"/>
    <x v="2"/>
    <x v="3"/>
  </r>
  <r>
    <s v="US-2015-142020"/>
    <x v="460"/>
    <d v="2015-06-08T00:00:00"/>
    <x v="0"/>
    <s v="TC-21535"/>
    <s v="Tracy Collins"/>
    <x v="2"/>
    <s v="United States"/>
    <x v="13"/>
    <x v="7"/>
    <x v="2"/>
    <s v="FUR-FU-10000672"/>
    <x v="0"/>
    <x v="3"/>
    <s v="Executive Impressions 10&quot; Spectator Wall Clock"/>
    <n v="35.28"/>
    <n v="3"/>
    <n v="11.995200000000001"/>
    <x v="4"/>
    <x v="2"/>
  </r>
  <r>
    <s v="CA-2016-130050"/>
    <x v="461"/>
    <d v="2016-07-18T00:00:00"/>
    <x v="0"/>
    <s v="MC-17425"/>
    <s v="Mark Cousins"/>
    <x v="1"/>
    <s v="United States"/>
    <x v="6"/>
    <x v="5"/>
    <x v="3"/>
    <s v="FUR-FU-10001940"/>
    <x v="0"/>
    <x v="3"/>
    <s v="Staple-based wall hangings"/>
    <n v="9.5519999999999996"/>
    <n v="3"/>
    <n v="-3.8208000000000002"/>
    <x v="3"/>
    <x v="3"/>
  </r>
  <r>
    <s v="CA-2014-115161"/>
    <x v="462"/>
    <d v="2014-02-02T00:00:00"/>
    <x v="2"/>
    <s v="LC-17050"/>
    <s v="Liz Carlisle"/>
    <x v="0"/>
    <s v="United States"/>
    <x v="204"/>
    <x v="2"/>
    <x v="1"/>
    <s v="FUR-BO-10003966"/>
    <x v="0"/>
    <x v="0"/>
    <s v="Sauder Facets Collection Library, Sky Alder Finish"/>
    <n v="290.666"/>
    <n v="2"/>
    <n v="3.4196"/>
    <x v="3"/>
    <x v="8"/>
  </r>
  <r>
    <s v="CA-2015-115511"/>
    <x v="32"/>
    <d v="2015-11-25T00:00:00"/>
    <x v="1"/>
    <s v="NW-18400"/>
    <s v="Natalie Webber"/>
    <x v="0"/>
    <s v="United States"/>
    <x v="205"/>
    <x v="34"/>
    <x v="1"/>
    <s v="FUR-BO-10002598"/>
    <x v="0"/>
    <x v="0"/>
    <s v="Hon Metal Bookcases, Putty"/>
    <n v="141.96"/>
    <n v="2"/>
    <n v="41.168399999999998"/>
    <x v="4"/>
    <x v="0"/>
  </r>
  <r>
    <s v="CA-2015-161718"/>
    <x v="463"/>
    <d v="2015-12-10T00:00:00"/>
    <x v="1"/>
    <s v="SO-20335"/>
    <s v="Sean O'Donnell"/>
    <x v="0"/>
    <s v="United States"/>
    <x v="206"/>
    <x v="7"/>
    <x v="2"/>
    <s v="FUR-FU-10002445"/>
    <x v="0"/>
    <x v="3"/>
    <s v="DAX Two-Tone Rosewood/Black Document Frame, Desktop, 5 x 7"/>
    <n v="28.44"/>
    <n v="3"/>
    <n v="11.375999999999999"/>
    <x v="6"/>
    <x v="5"/>
  </r>
  <r>
    <s v="CA-2015-161718"/>
    <x v="463"/>
    <d v="2015-12-10T00:00:00"/>
    <x v="1"/>
    <s v="SO-20335"/>
    <s v="Sean O'Donnell"/>
    <x v="0"/>
    <s v="United States"/>
    <x v="206"/>
    <x v="7"/>
    <x v="2"/>
    <s v="FUR-CH-10002372"/>
    <x v="0"/>
    <x v="1"/>
    <s v="Office Star - Ergonomically Designed Knee Chair"/>
    <n v="364.41"/>
    <n v="5"/>
    <n v="8.0980000000000008"/>
    <x v="6"/>
    <x v="5"/>
  </r>
  <r>
    <s v="CA-2015-161718"/>
    <x v="463"/>
    <d v="2015-12-10T00:00:00"/>
    <x v="1"/>
    <s v="SO-20335"/>
    <s v="Sean O'Donnell"/>
    <x v="0"/>
    <s v="United States"/>
    <x v="206"/>
    <x v="7"/>
    <x v="2"/>
    <s v="FUR-CH-10002965"/>
    <x v="0"/>
    <x v="1"/>
    <s v="Global Leather Highback Executive Chair with Pneumatic Height Adjustment, Black"/>
    <n v="361.76400000000001"/>
    <n v="2"/>
    <n v="68.333200000000005"/>
    <x v="6"/>
    <x v="5"/>
  </r>
  <r>
    <s v="CA-2017-103156"/>
    <x v="68"/>
    <d v="2017-11-24T00:00:00"/>
    <x v="2"/>
    <s v="TD-20995"/>
    <s v="Tamara Dahlen"/>
    <x v="0"/>
    <s v="United States"/>
    <x v="3"/>
    <x v="3"/>
    <x v="2"/>
    <s v="FUR-FU-10000320"/>
    <x v="0"/>
    <x v="3"/>
    <s v="OIC Stacking Trays"/>
    <n v="24.047999999999998"/>
    <n v="9"/>
    <n v="7.2144000000000004"/>
    <x v="5"/>
    <x v="0"/>
  </r>
  <r>
    <s v="CA-2015-130659"/>
    <x v="463"/>
    <d v="2015-12-09T00:00:00"/>
    <x v="0"/>
    <s v="MS-17365"/>
    <s v="Maribeth Schnelling"/>
    <x v="0"/>
    <s v="United States"/>
    <x v="13"/>
    <x v="7"/>
    <x v="2"/>
    <s v="FUR-CH-10003535"/>
    <x v="0"/>
    <x v="1"/>
    <s v="Global Armless Task Chair, Royal Blue"/>
    <n v="384.17399999999998"/>
    <n v="7"/>
    <n v="29.880199999999999"/>
    <x v="2"/>
    <x v="5"/>
  </r>
  <r>
    <s v="CA-2017-148404"/>
    <x v="273"/>
    <d v="2017-10-11T00:00:00"/>
    <x v="1"/>
    <s v="Dp-13240"/>
    <s v="Dean percer"/>
    <x v="2"/>
    <s v="United States"/>
    <x v="127"/>
    <x v="30"/>
    <x v="0"/>
    <s v="FUR-TA-10001039"/>
    <x v="0"/>
    <x v="2"/>
    <s v="KI Adjustable-Height Table"/>
    <n v="154.76400000000001"/>
    <n v="3"/>
    <n v="-36.111600000000003"/>
    <x v="4"/>
    <x v="1"/>
  </r>
  <r>
    <s v="CA-2015-129700"/>
    <x v="50"/>
    <d v="2015-05-05T00:00:00"/>
    <x v="2"/>
    <s v="LA-16780"/>
    <s v="Laura Armstrong"/>
    <x v="1"/>
    <s v="United States"/>
    <x v="207"/>
    <x v="8"/>
    <x v="3"/>
    <s v="FUR-FU-10001940"/>
    <x v="0"/>
    <x v="3"/>
    <s v="Staple-based wall hangings"/>
    <n v="22.288"/>
    <n v="7"/>
    <n v="-8.9152000000000005"/>
    <x v="5"/>
    <x v="7"/>
  </r>
  <r>
    <s v="CA-2017-168739"/>
    <x v="464"/>
    <d v="2017-06-05T00:00:00"/>
    <x v="1"/>
    <s v="HZ-14950"/>
    <s v="Henia Zydlo"/>
    <x v="0"/>
    <s v="United States"/>
    <x v="6"/>
    <x v="5"/>
    <x v="3"/>
    <s v="FUR-FU-10003919"/>
    <x v="0"/>
    <x v="3"/>
    <s v="Eldon Executive Woodline II Cherry Finish Desk Accessories"/>
    <n v="65.424000000000007"/>
    <n v="4"/>
    <n v="-52.339199999999998"/>
    <x v="1"/>
    <x v="7"/>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FU-10002191"/>
    <x v="0"/>
    <x v="3"/>
    <s v="G.E. Halogen Desk Lamp Bulbs"/>
    <n v="22.335999999999999"/>
    <n v="4"/>
    <n v="7.8175999999999997"/>
    <x v="4"/>
    <x v="6"/>
  </r>
  <r>
    <s v="CA-2015-150791"/>
    <x v="329"/>
    <d v="2015-09-13T00:00:00"/>
    <x v="1"/>
    <s v="CC-12430"/>
    <s v="Chuck Clark"/>
    <x v="2"/>
    <s v="United States"/>
    <x v="13"/>
    <x v="7"/>
    <x v="2"/>
    <s v="FUR-CH-10000665"/>
    <x v="0"/>
    <x v="1"/>
    <s v="Global Airflow Leather Mesh Back Chair, Black"/>
    <n v="271.76400000000001"/>
    <n v="2"/>
    <n v="60.392000000000003"/>
    <x v="1"/>
    <x v="4"/>
  </r>
  <r>
    <s v="CA-2015-153381"/>
    <x v="262"/>
    <d v="2015-09-28T00:00:00"/>
    <x v="1"/>
    <s v="DE-13255"/>
    <s v="Deanra Eno"/>
    <x v="2"/>
    <s v="United States"/>
    <x v="208"/>
    <x v="26"/>
    <x v="3"/>
    <s v="FUR-CH-10000988"/>
    <x v="0"/>
    <x v="1"/>
    <s v="Hon Olson Stacker Stools"/>
    <n v="1408.1"/>
    <n v="10"/>
    <n v="394.26799999999997"/>
    <x v="4"/>
    <x v="4"/>
  </r>
  <r>
    <s v="US-2017-111024"/>
    <x v="209"/>
    <d v="2017-07-06T00:00:00"/>
    <x v="0"/>
    <s v="SZ-20035"/>
    <s v="Sam Zeldin"/>
    <x v="2"/>
    <s v="United States"/>
    <x v="68"/>
    <x v="15"/>
    <x v="2"/>
    <s v="FUR-TA-10002041"/>
    <x v="0"/>
    <x v="2"/>
    <s v="Bevis Round Conference Table Top, X-Base"/>
    <n v="215.148"/>
    <n v="2"/>
    <n v="-103.98820000000001"/>
    <x v="0"/>
    <x v="3"/>
  </r>
  <r>
    <s v="CA-2017-148264"/>
    <x v="64"/>
    <d v="2017-12-09T00:00:00"/>
    <x v="2"/>
    <s v="LF-17185"/>
    <s v="Luke Foster"/>
    <x v="0"/>
    <s v="United States"/>
    <x v="209"/>
    <x v="2"/>
    <x v="1"/>
    <s v="FUR-FU-10002703"/>
    <x v="0"/>
    <x v="3"/>
    <s v="Tenex Traditional Chairmats for Hard Floors, Average Lip, 36&quot; x 48&quot;"/>
    <n v="128.9"/>
    <n v="2"/>
    <n v="15.468"/>
    <x v="5"/>
    <x v="5"/>
  </r>
  <r>
    <s v="US-2015-100531"/>
    <x v="466"/>
    <d v="2015-09-29T00:00:00"/>
    <x v="2"/>
    <s v="NM-18520"/>
    <s v="Neoma Murray"/>
    <x v="0"/>
    <s v="United States"/>
    <x v="9"/>
    <x v="8"/>
    <x v="3"/>
    <s v="FUR-FU-10003849"/>
    <x v="0"/>
    <x v="3"/>
    <s v="DAX Metal Frame, Desktop, Stepped-Edge"/>
    <n v="24.288"/>
    <n v="3"/>
    <n v="-12.751200000000001"/>
    <x v="3"/>
    <x v="4"/>
  </r>
  <r>
    <s v="CA-2017-152583"/>
    <x v="242"/>
    <d v="2017-10-30T00:00:00"/>
    <x v="3"/>
    <s v="RA-19945"/>
    <s v="Ryan Akin"/>
    <x v="0"/>
    <s v="United States"/>
    <x v="144"/>
    <x v="5"/>
    <x v="3"/>
    <s v="FUR-FU-10003849"/>
    <x v="0"/>
    <x v="3"/>
    <s v="DAX Metal Frame, Desktop, Stepped-Edge"/>
    <n v="16.192"/>
    <n v="2"/>
    <n v="-8.5007999999999999"/>
    <x v="7"/>
    <x v="1"/>
  </r>
  <r>
    <s v="CA-2017-152583"/>
    <x v="242"/>
    <d v="2017-10-30T00:00:00"/>
    <x v="3"/>
    <s v="RA-19945"/>
    <s v="Ryan Akin"/>
    <x v="0"/>
    <s v="United States"/>
    <x v="144"/>
    <x v="5"/>
    <x v="3"/>
    <s v="FUR-TA-10002041"/>
    <x v="0"/>
    <x v="2"/>
    <s v="Bevis Round Conference Table Top, X-Base"/>
    <n v="251.006"/>
    <n v="2"/>
    <n v="-68.130200000000002"/>
    <x v="7"/>
    <x v="1"/>
  </r>
  <r>
    <s v="CA-2017-136448"/>
    <x v="467"/>
    <d v="2017-09-18T00:00:00"/>
    <x v="2"/>
    <s v="AS-10090"/>
    <s v="Adam Shillingsburg"/>
    <x v="0"/>
    <s v="United States"/>
    <x v="3"/>
    <x v="3"/>
    <x v="2"/>
    <s v="FUR-FU-10003832"/>
    <x v="0"/>
    <x v="3"/>
    <s v="Eldon Expressions Punched Metal &amp; Wood Desk Accessories, Black &amp; Cherry"/>
    <n v="22.512"/>
    <n v="3"/>
    <n v="2.2511999999999999"/>
    <x v="3"/>
    <x v="4"/>
  </r>
  <r>
    <s v="US-2015-147242"/>
    <x v="468"/>
    <d v="2015-09-14T00:00:00"/>
    <x v="1"/>
    <s v="EH-13765"/>
    <s v="Edward Hooks"/>
    <x v="1"/>
    <s v="United States"/>
    <x v="210"/>
    <x v="20"/>
    <x v="2"/>
    <s v="FUR-BO-10004695"/>
    <x v="0"/>
    <x v="0"/>
    <s v="O'Sullivan 2-Door Barrister Bookcase in Odessa Pine"/>
    <n v="361.96"/>
    <n v="2"/>
    <n v="83.250799999999998"/>
    <x v="4"/>
    <x v="4"/>
  </r>
  <r>
    <s v="CA-2016-146143"/>
    <x v="469"/>
    <d v="2016-12-19T00:00:00"/>
    <x v="1"/>
    <s v="MC-17845"/>
    <s v="Michael Chen"/>
    <x v="0"/>
    <s v="United States"/>
    <x v="38"/>
    <x v="21"/>
    <x v="0"/>
    <s v="FUR-FU-10002045"/>
    <x v="0"/>
    <x v="3"/>
    <s v="Executive Impressions 14&quot;"/>
    <n v="133.38"/>
    <n v="6"/>
    <n v="58.687199999999997"/>
    <x v="2"/>
    <x v="5"/>
  </r>
  <r>
    <s v="US-2016-150035"/>
    <x v="193"/>
    <d v="2016-12-05T00:00:00"/>
    <x v="1"/>
    <s v="CL-11890"/>
    <s v="Carl Ludwig"/>
    <x v="0"/>
    <s v="United States"/>
    <x v="28"/>
    <x v="2"/>
    <x v="1"/>
    <s v="FUR-FU-10003724"/>
    <x v="0"/>
    <x v="3"/>
    <s v="Westinghouse Clip-On Gooseneck Lamps"/>
    <n v="16.739999999999998"/>
    <n v="2"/>
    <n v="4.3524000000000003"/>
    <x v="4"/>
    <x v="5"/>
  </r>
  <r>
    <s v="CA-2017-111815"/>
    <x v="470"/>
    <d v="2017-03-10T00:00:00"/>
    <x v="1"/>
    <s v="EP-13915"/>
    <s v="Emily Phan"/>
    <x v="0"/>
    <s v="United States"/>
    <x v="211"/>
    <x v="17"/>
    <x v="3"/>
    <s v="FUR-CH-10000785"/>
    <x v="0"/>
    <x v="1"/>
    <s v="Global Ergonomic Managers Chair"/>
    <n v="180.98"/>
    <n v="1"/>
    <n v="47.0548"/>
    <x v="1"/>
    <x v="9"/>
  </r>
  <r>
    <s v="CA-2016-131289"/>
    <x v="6"/>
    <d v="2016-12-14T00:00:00"/>
    <x v="1"/>
    <s v="SP-20620"/>
    <s v="Stefania Perrino"/>
    <x v="1"/>
    <s v="United States"/>
    <x v="28"/>
    <x v="2"/>
    <x v="1"/>
    <s v="FUR-TA-10003954"/>
    <x v="0"/>
    <x v="2"/>
    <s v="Hon 94000 Series Round Tables"/>
    <n v="1421.664"/>
    <n v="6"/>
    <n v="-195.47880000000001"/>
    <x v="6"/>
    <x v="5"/>
  </r>
  <r>
    <s v="CA-2014-124023"/>
    <x v="471"/>
    <d v="2014-04-10T00:00:00"/>
    <x v="2"/>
    <s v="PJ-19015"/>
    <s v="Pauline Johnson"/>
    <x v="0"/>
    <s v="United States"/>
    <x v="212"/>
    <x v="33"/>
    <x v="0"/>
    <s v="FUR-FU-10004415"/>
    <x v="0"/>
    <x v="3"/>
    <s v="Stacking Tray, Side-Loading, Legal, Smoke"/>
    <n v="8.9600000000000009"/>
    <n v="2"/>
    <n v="2.7776000000000001"/>
    <x v="0"/>
    <x v="6"/>
  </r>
  <r>
    <s v="CA-2014-124688"/>
    <x v="472"/>
    <d v="2014-08-29T00:00:00"/>
    <x v="2"/>
    <s v="CC-12610"/>
    <s v="Corey Catlett"/>
    <x v="1"/>
    <s v="United States"/>
    <x v="76"/>
    <x v="25"/>
    <x v="0"/>
    <s v="FUR-FU-10002456"/>
    <x v="0"/>
    <x v="3"/>
    <s v="Master Caster Door Stop, Large Neon Orange"/>
    <n v="29.12"/>
    <n v="4"/>
    <n v="12.521599999999999"/>
    <x v="3"/>
    <x v="10"/>
  </r>
  <r>
    <s v="CA-2014-124688"/>
    <x v="472"/>
    <d v="2014-08-29T00:00:00"/>
    <x v="2"/>
    <s v="CC-12610"/>
    <s v="Corey Catlett"/>
    <x v="1"/>
    <s v="United States"/>
    <x v="76"/>
    <x v="25"/>
    <x v="0"/>
    <s v="FUR-TA-10003569"/>
    <x v="0"/>
    <x v="2"/>
    <s v="Bretford CR8500 Series Meeting Room Furniture"/>
    <n v="1202.94"/>
    <n v="3"/>
    <n v="300.73500000000001"/>
    <x v="3"/>
    <x v="10"/>
  </r>
  <r>
    <s v="CA-2015-157322"/>
    <x v="473"/>
    <d v="2015-07-06T00:00:00"/>
    <x v="1"/>
    <s v="RH-19600"/>
    <s v="Rob Haberlin"/>
    <x v="0"/>
    <s v="United States"/>
    <x v="213"/>
    <x v="8"/>
    <x v="3"/>
    <s v="FUR-CH-10004086"/>
    <x v="0"/>
    <x v="1"/>
    <s v="Hon 4070 Series Pagoda Armless Upholstered Stacking Chairs"/>
    <n v="408.42200000000003"/>
    <n v="2"/>
    <n v="-5.8346"/>
    <x v="4"/>
    <x v="3"/>
  </r>
  <r>
    <s v="CA-2015-157322"/>
    <x v="473"/>
    <d v="2015-07-06T00:00:00"/>
    <x v="1"/>
    <s v="RH-19600"/>
    <s v="Rob Haberlin"/>
    <x v="0"/>
    <s v="United States"/>
    <x v="213"/>
    <x v="8"/>
    <x v="3"/>
    <s v="FUR-CH-10003774"/>
    <x v="0"/>
    <x v="1"/>
    <s v="Global Wood Trimmed Manager's Task Chair, Khaki"/>
    <n v="382.11599999999999"/>
    <n v="6"/>
    <n v="-92.799599999999998"/>
    <x v="4"/>
    <x v="3"/>
  </r>
  <r>
    <s v="CA-2017-142034"/>
    <x v="118"/>
    <d v="2017-09-28T00:00:00"/>
    <x v="1"/>
    <s v="KB-16240"/>
    <s v="Karen Bern"/>
    <x v="1"/>
    <s v="United States"/>
    <x v="214"/>
    <x v="11"/>
    <x v="3"/>
    <s v="FUR-CH-10000665"/>
    <x v="0"/>
    <x v="1"/>
    <s v="Global Airflow Leather Mesh Back Chair, Black"/>
    <n v="603.91999999999996"/>
    <n v="4"/>
    <n v="181.17599999999999"/>
    <x v="4"/>
    <x v="4"/>
  </r>
  <r>
    <s v="CA-2016-107328"/>
    <x v="474"/>
    <d v="2016-08-15T00:00:00"/>
    <x v="1"/>
    <s v="CA-12055"/>
    <s v="Cathy Armstrong"/>
    <x v="2"/>
    <s v="United States"/>
    <x v="2"/>
    <x v="2"/>
    <x v="1"/>
    <s v="FUR-TA-10001932"/>
    <x v="0"/>
    <x v="2"/>
    <s v="Chromcraft 48&quot; x 96&quot; Racetrack Double Pedestal Table"/>
    <n v="513.024"/>
    <n v="2"/>
    <n v="12.8256"/>
    <x v="1"/>
    <x v="10"/>
  </r>
  <r>
    <s v="CA-2014-166863"/>
    <x v="475"/>
    <d v="2014-06-24T00:00:00"/>
    <x v="1"/>
    <s v="SC-20020"/>
    <s v="Sam Craven"/>
    <x v="0"/>
    <s v="United States"/>
    <x v="215"/>
    <x v="5"/>
    <x v="3"/>
    <s v="FUR-BO-10001608"/>
    <x v="0"/>
    <x v="0"/>
    <s v="Hon Metal Bookcases, Black"/>
    <n v="193.06559999999999"/>
    <n v="4"/>
    <n v="-19.874400000000001"/>
    <x v="4"/>
    <x v="2"/>
  </r>
  <r>
    <s v="CA-2017-140326"/>
    <x v="362"/>
    <d v="2017-09-06T00:00:00"/>
    <x v="2"/>
    <s v="HW-14935"/>
    <s v="Helen Wasserman"/>
    <x v="1"/>
    <s v="United States"/>
    <x v="9"/>
    <x v="8"/>
    <x v="3"/>
    <s v="FUR-BO-10000112"/>
    <x v="0"/>
    <x v="0"/>
    <s v="Bush Birmingham Collection Bookcase, Dark Cherry"/>
    <n v="825.17399999999998"/>
    <n v="9"/>
    <n v="-117.88200000000001"/>
    <x v="3"/>
    <x v="4"/>
  </r>
  <r>
    <s v="CA-2015-124975"/>
    <x v="476"/>
    <d v="2015-06-25T00:00:00"/>
    <x v="2"/>
    <s v="MG-17875"/>
    <s v="Michael Grace"/>
    <x v="2"/>
    <s v="United States"/>
    <x v="14"/>
    <x v="8"/>
    <x v="3"/>
    <s v="FUR-TA-10002645"/>
    <x v="0"/>
    <x v="2"/>
    <s v="Hon Rectangular Conference Tables"/>
    <n v="796.42499999999995"/>
    <n v="7"/>
    <n v="-525.64049999999997"/>
    <x v="0"/>
    <x v="2"/>
  </r>
  <r>
    <s v="CA-2016-157511"/>
    <x v="126"/>
    <d v="2016-09-20T00:00:00"/>
    <x v="2"/>
    <s v="SV-20365"/>
    <s v="Seth Vernon"/>
    <x v="0"/>
    <s v="United States"/>
    <x v="29"/>
    <x v="15"/>
    <x v="2"/>
    <s v="FUR-FU-10002107"/>
    <x v="0"/>
    <x v="3"/>
    <s v="Eldon Pizzaz Desk Accessories"/>
    <n v="5.3520000000000003"/>
    <n v="3"/>
    <n v="1.6055999999999999"/>
    <x v="3"/>
    <x v="4"/>
  </r>
  <r>
    <s v="CA-2016-157511"/>
    <x v="126"/>
    <d v="2016-09-20T00:00:00"/>
    <x v="2"/>
    <s v="SV-20365"/>
    <s v="Seth Vernon"/>
    <x v="0"/>
    <s v="United States"/>
    <x v="29"/>
    <x v="15"/>
    <x v="2"/>
    <s v="FUR-CH-10002647"/>
    <x v="0"/>
    <x v="1"/>
    <s v="Situations Contoured Folding Chairs, 4/Set"/>
    <n v="99.372"/>
    <n v="2"/>
    <n v="-7.0979999999999999"/>
    <x v="3"/>
    <x v="4"/>
  </r>
  <r>
    <s v="CA-2017-155292"/>
    <x v="242"/>
    <d v="2017-11-01T00:00:00"/>
    <x v="2"/>
    <s v="RD-19810"/>
    <s v="Ross DeVincentis"/>
    <x v="2"/>
    <s v="United States"/>
    <x v="52"/>
    <x v="0"/>
    <x v="0"/>
    <s v="FUR-CH-10000553"/>
    <x v="0"/>
    <x v="1"/>
    <s v="Metal Folding Chairs, Beige, 4/Carton"/>
    <n v="33.94"/>
    <n v="1"/>
    <n v="9.1638000000000002"/>
    <x v="3"/>
    <x v="1"/>
  </r>
  <r>
    <s v="CA-2016-152555"/>
    <x v="477"/>
    <d v="2016-04-02T00:00:00"/>
    <x v="0"/>
    <s v="ME-17320"/>
    <s v="Maria Etezadi"/>
    <x v="2"/>
    <s v="United States"/>
    <x v="9"/>
    <x v="8"/>
    <x v="3"/>
    <s v="FUR-CH-10002965"/>
    <x v="0"/>
    <x v="1"/>
    <s v="Global Leather Highback Executive Chair with Pneumatic Height Adjustment, Black"/>
    <n v="844.11599999999999"/>
    <n v="6"/>
    <n v="-36.176400000000001"/>
    <x v="4"/>
    <x v="9"/>
  </r>
  <r>
    <s v="CA-2016-137176"/>
    <x v="478"/>
    <d v="2016-09-14T00:00:00"/>
    <x v="0"/>
    <s v="DB-12910"/>
    <s v="Daniel Byrd"/>
    <x v="2"/>
    <s v="United States"/>
    <x v="144"/>
    <x v="5"/>
    <x v="3"/>
    <s v="FUR-FU-10003832"/>
    <x v="0"/>
    <x v="3"/>
    <s v="Eldon Expressions Punched Metal &amp; Wood Desk Accessories, Black &amp; Cherry"/>
    <n v="15.007999999999999"/>
    <n v="4"/>
    <n v="-12.006399999999999"/>
    <x v="2"/>
    <x v="4"/>
  </r>
  <r>
    <s v="CA-2016-104157"/>
    <x v="81"/>
    <d v="2016-07-29T00:00:00"/>
    <x v="1"/>
    <s v="MT-17815"/>
    <s v="Meg Tillman"/>
    <x v="0"/>
    <s v="United States"/>
    <x v="38"/>
    <x v="21"/>
    <x v="0"/>
    <s v="FUR-TA-10004915"/>
    <x v="0"/>
    <x v="2"/>
    <s v="Office Impressions End Table, 20-1/2&quot;H x 24&quot;W x 20&quot;D"/>
    <n v="2430.08"/>
    <n v="8"/>
    <n v="388.81279999999998"/>
    <x v="4"/>
    <x v="3"/>
  </r>
  <r>
    <s v="CA-2015-121650"/>
    <x v="479"/>
    <d v="2015-12-16T00:00:00"/>
    <x v="1"/>
    <s v="KD-16495"/>
    <s v="Keith Dawkins"/>
    <x v="1"/>
    <s v="United States"/>
    <x v="38"/>
    <x v="17"/>
    <x v="3"/>
    <s v="FUR-TA-10003569"/>
    <x v="0"/>
    <x v="2"/>
    <s v="Bretford CR8500 Series Meeting Room Furniture"/>
    <n v="801.96"/>
    <n v="2"/>
    <n v="200.49"/>
    <x v="6"/>
    <x v="5"/>
  </r>
  <r>
    <s v="CA-2015-121650"/>
    <x v="479"/>
    <d v="2015-12-16T00:00:00"/>
    <x v="1"/>
    <s v="KD-16495"/>
    <s v="Keith Dawkins"/>
    <x v="1"/>
    <s v="United States"/>
    <x v="38"/>
    <x v="17"/>
    <x v="3"/>
    <s v="FUR-CH-10004289"/>
    <x v="0"/>
    <x v="1"/>
    <s v="Global Super Steno Chair"/>
    <n v="191.96"/>
    <n v="2"/>
    <n v="32.633200000000002"/>
    <x v="6"/>
    <x v="5"/>
  </r>
  <r>
    <s v="CA-2014-102869"/>
    <x v="383"/>
    <d v="2014-09-14T00:00:00"/>
    <x v="0"/>
    <s v="LC-17140"/>
    <s v="Logan Currie"/>
    <x v="0"/>
    <s v="United States"/>
    <x v="3"/>
    <x v="3"/>
    <x v="2"/>
    <s v="FUR-FU-10002456"/>
    <x v="0"/>
    <x v="3"/>
    <s v="Master Caster Door Stop, Large Neon Orange"/>
    <n v="17.472000000000001"/>
    <n v="3"/>
    <n v="5.0232000000000001"/>
    <x v="2"/>
    <x v="4"/>
  </r>
  <r>
    <s v="CA-2014-159835"/>
    <x v="317"/>
    <d v="2014-11-24T00:00:00"/>
    <x v="1"/>
    <s v="RB-19330"/>
    <s v="Randy Bradley"/>
    <x v="0"/>
    <s v="United States"/>
    <x v="3"/>
    <x v="3"/>
    <x v="2"/>
    <s v="FUR-CH-10004997"/>
    <x v="0"/>
    <x v="1"/>
    <s v="Hon Every-Day Series Multi-Task Chairs"/>
    <n v="657.93"/>
    <n v="5"/>
    <n v="-93.99"/>
    <x v="1"/>
    <x v="0"/>
  </r>
  <r>
    <s v="CA-2017-112956"/>
    <x v="67"/>
    <d v="2017-08-27T00:00:00"/>
    <x v="1"/>
    <s v="TH-21550"/>
    <s v="Tracy Hopkins"/>
    <x v="2"/>
    <s v="United States"/>
    <x v="11"/>
    <x v="32"/>
    <x v="2"/>
    <s v="FUR-FU-10003976"/>
    <x v="0"/>
    <x v="3"/>
    <s v="DAX Executive Solid Wood Document Frame, Desktop or Hang, Mahogany, 5 x 7"/>
    <n v="25.16"/>
    <n v="2"/>
    <n v="8.5543999999999993"/>
    <x v="6"/>
    <x v="10"/>
  </r>
  <r>
    <s v="CA-2017-112956"/>
    <x v="67"/>
    <d v="2017-08-27T00:00:00"/>
    <x v="1"/>
    <s v="TH-21550"/>
    <s v="Tracy Hopkins"/>
    <x v="2"/>
    <s v="United States"/>
    <x v="11"/>
    <x v="32"/>
    <x v="2"/>
    <s v="FUR-FU-10004960"/>
    <x v="0"/>
    <x v="3"/>
    <s v="Seth Thomas 12&quot; Clock w/ Goldtone Case"/>
    <n v="91.92"/>
    <n v="4"/>
    <n v="31.252800000000001"/>
    <x v="6"/>
    <x v="10"/>
  </r>
  <r>
    <s v="CA-2017-112529"/>
    <x v="49"/>
    <d v="2017-11-21T00:00:00"/>
    <x v="2"/>
    <s v="SC-20770"/>
    <s v="Stewart Carmichael"/>
    <x v="1"/>
    <s v="United States"/>
    <x v="21"/>
    <x v="5"/>
    <x v="3"/>
    <s v="FUR-TA-10002622"/>
    <x v="0"/>
    <x v="2"/>
    <s v="Bush Andora Conference Table, Maple/Graphite Gray Finish"/>
    <n v="718.11599999999999"/>
    <n v="6"/>
    <n v="-71.811599999999999"/>
    <x v="3"/>
    <x v="0"/>
  </r>
  <r>
    <s v="CA-2014-159184"/>
    <x v="94"/>
    <d v="2014-09-19T00:00:00"/>
    <x v="1"/>
    <s v="JC-15775"/>
    <s v="John Castell"/>
    <x v="0"/>
    <s v="United States"/>
    <x v="216"/>
    <x v="24"/>
    <x v="0"/>
    <s v="FUR-FU-10002878"/>
    <x v="0"/>
    <x v="3"/>
    <s v="Seth Thomas 14&quot; Day/Date Wall Clock"/>
    <n v="142.4"/>
    <n v="5"/>
    <n v="52.688000000000002"/>
    <x v="2"/>
    <x v="4"/>
  </r>
  <r>
    <s v="CA-2017-113530"/>
    <x v="405"/>
    <d v="2017-05-21T00:00:00"/>
    <x v="0"/>
    <s v="BC-11125"/>
    <s v="Becky Castell"/>
    <x v="2"/>
    <s v="United States"/>
    <x v="28"/>
    <x v="2"/>
    <x v="1"/>
    <s v="FUR-CH-10002647"/>
    <x v="0"/>
    <x v="1"/>
    <s v="Situations Contoured Folding Chairs, 4/Set"/>
    <n v="681.40800000000002"/>
    <n v="12"/>
    <n v="42.588000000000001"/>
    <x v="3"/>
    <x v="7"/>
  </r>
  <r>
    <s v="CA-2016-145177"/>
    <x v="480"/>
    <d v="2016-11-14T00:00:00"/>
    <x v="1"/>
    <s v="PP-18955"/>
    <s v="Paul Prost"/>
    <x v="2"/>
    <s v="United States"/>
    <x v="76"/>
    <x v="15"/>
    <x v="2"/>
    <s v="FUR-FU-10000758"/>
    <x v="0"/>
    <x v="3"/>
    <s v="DAX Natural Wood-Tone Poster Frame"/>
    <n v="148.28800000000001"/>
    <n v="7"/>
    <n v="29.657599999999999"/>
    <x v="4"/>
    <x v="0"/>
  </r>
  <r>
    <s v="CA-2015-128083"/>
    <x v="481"/>
    <d v="2015-03-17T00:00:00"/>
    <x v="1"/>
    <s v="EB-13750"/>
    <s v="Edward Becker"/>
    <x v="1"/>
    <s v="United States"/>
    <x v="217"/>
    <x v="1"/>
    <x v="0"/>
    <s v="FUR-FU-10003194"/>
    <x v="0"/>
    <x v="3"/>
    <s v="Eldon Expressions Desk Accessory, Wood Pencil Holder, Oak"/>
    <n v="30.88"/>
    <n v="4"/>
    <n v="3.86"/>
    <x v="2"/>
    <x v="9"/>
  </r>
  <r>
    <s v="CA-2015-128083"/>
    <x v="481"/>
    <d v="2015-03-17T00:00:00"/>
    <x v="1"/>
    <s v="EB-13750"/>
    <s v="Edward Becker"/>
    <x v="1"/>
    <s v="United States"/>
    <x v="217"/>
    <x v="1"/>
    <x v="0"/>
    <s v="FUR-FU-10001731"/>
    <x v="0"/>
    <x v="3"/>
    <s v="Acrylic Self-Standing Desk Frames"/>
    <n v="6.4080000000000004"/>
    <n v="3"/>
    <n v="1.4418"/>
    <x v="2"/>
    <x v="9"/>
  </r>
  <r>
    <s v="CA-2017-154109"/>
    <x v="200"/>
    <d v="2017-11-11T00:00:00"/>
    <x v="1"/>
    <s v="ML-17410"/>
    <s v="Maris LaWare"/>
    <x v="0"/>
    <s v="United States"/>
    <x v="3"/>
    <x v="3"/>
    <x v="2"/>
    <s v="FUR-CH-10003774"/>
    <x v="0"/>
    <x v="1"/>
    <s v="Global Wood Trimmed Manager's Task Chair, Khaki"/>
    <n v="127.372"/>
    <n v="2"/>
    <n v="-30.933199999999999"/>
    <x v="2"/>
    <x v="0"/>
  </r>
  <r>
    <s v="CA-2015-156440"/>
    <x v="482"/>
    <d v="2015-12-09T00:00:00"/>
    <x v="1"/>
    <s v="MH-17620"/>
    <s v="Matt Hagelstein"/>
    <x v="1"/>
    <s v="United States"/>
    <x v="53"/>
    <x v="2"/>
    <x v="1"/>
    <s v="FUR-FU-10004090"/>
    <x v="0"/>
    <x v="3"/>
    <s v="Executive Impressions 14&quot; Contract Wall Clock"/>
    <n v="44.46"/>
    <n v="2"/>
    <n v="14.671799999999999"/>
    <x v="4"/>
    <x v="5"/>
  </r>
  <r>
    <s v="CA-2015-132626"/>
    <x v="483"/>
    <d v="2015-07-14T00:00:00"/>
    <x v="1"/>
    <s v="BT-11680"/>
    <s v="Brian Thompson"/>
    <x v="0"/>
    <s v="United States"/>
    <x v="218"/>
    <x v="32"/>
    <x v="2"/>
    <s v="FUR-FU-10002918"/>
    <x v="0"/>
    <x v="3"/>
    <s v="Eldon ClusterMat Chair Mat with Cordless Antistatic Protection"/>
    <n v="181.96"/>
    <n v="2"/>
    <n v="20.015599999999999"/>
    <x v="2"/>
    <x v="3"/>
  </r>
  <r>
    <s v="US-2015-131359"/>
    <x v="484"/>
    <d v="2015-11-02T00:00:00"/>
    <x v="0"/>
    <s v="FA-14230"/>
    <s v="Frank Atkinson"/>
    <x v="1"/>
    <s v="United States"/>
    <x v="22"/>
    <x v="12"/>
    <x v="1"/>
    <s v="FUR-FU-10003026"/>
    <x v="0"/>
    <x v="3"/>
    <s v="Eldon Regeneration Recycled Desk Accessories, Black"/>
    <n v="15.488"/>
    <n v="4"/>
    <n v="3.6783999999999999"/>
    <x v="0"/>
    <x v="1"/>
  </r>
  <r>
    <s v="CA-2015-151680"/>
    <x v="485"/>
    <d v="2015-11-21T00:00:00"/>
    <x v="0"/>
    <s v="TC-21475"/>
    <s v="Tony Chapman"/>
    <x v="2"/>
    <s v="United States"/>
    <x v="15"/>
    <x v="13"/>
    <x v="1"/>
    <s v="FUR-FU-10000305"/>
    <x v="0"/>
    <x v="3"/>
    <s v="Tenex V2T-RE Standard Weight Series Chair Mat, 45&quot; x 53&quot;, Lip 25&quot; x 12&quot;"/>
    <n v="141.96"/>
    <n v="2"/>
    <n v="22.7136"/>
    <x v="3"/>
    <x v="0"/>
  </r>
  <r>
    <s v="CA-2017-169411"/>
    <x v="455"/>
    <d v="2017-12-29T00:00:00"/>
    <x v="1"/>
    <s v="AC-10615"/>
    <s v="Ann Chong"/>
    <x v="1"/>
    <s v="United States"/>
    <x v="77"/>
    <x v="7"/>
    <x v="2"/>
    <s v="FUR-FU-10001602"/>
    <x v="0"/>
    <x v="3"/>
    <s v="Eldon Delta Triangular Chair Mat, 52&quot; x 58&quot;, Clear"/>
    <n v="37.93"/>
    <n v="1"/>
    <n v="6.8273999999999999"/>
    <x v="2"/>
    <x v="5"/>
  </r>
  <r>
    <s v="CA-2016-126543"/>
    <x v="486"/>
    <d v="2016-01-13T00:00:00"/>
    <x v="0"/>
    <s v="MF-17665"/>
    <s v="Maureen Fritzler"/>
    <x v="1"/>
    <s v="United States"/>
    <x v="219"/>
    <x v="15"/>
    <x v="2"/>
    <s v="FUR-FU-10002445"/>
    <x v="0"/>
    <x v="3"/>
    <s v="DAX Two-Tone Rosewood/Black Document Frame, Desktop, 5 x 7"/>
    <n v="15.167999999999999"/>
    <n v="2"/>
    <n v="3.7919999999999998"/>
    <x v="4"/>
    <x v="8"/>
  </r>
  <r>
    <s v="CA-2014-120544"/>
    <x v="255"/>
    <d v="2014-11-27T00:00:00"/>
    <x v="1"/>
    <s v="SS-20140"/>
    <s v="Saphhira Shifley"/>
    <x v="1"/>
    <s v="United States"/>
    <x v="220"/>
    <x v="5"/>
    <x v="3"/>
    <s v="FUR-FU-10001940"/>
    <x v="0"/>
    <x v="3"/>
    <s v="Staple-based wall hangings"/>
    <n v="6.3680000000000003"/>
    <n v="2"/>
    <n v="-2.5472000000000001"/>
    <x v="4"/>
    <x v="0"/>
  </r>
  <r>
    <s v="CA-2017-113670"/>
    <x v="487"/>
    <d v="2017-10-17T00:00:00"/>
    <x v="2"/>
    <s v="RS-19765"/>
    <s v="Roland Schwarz"/>
    <x v="1"/>
    <s v="United States"/>
    <x v="2"/>
    <x v="2"/>
    <x v="1"/>
    <s v="FUR-TA-10001705"/>
    <x v="0"/>
    <x v="2"/>
    <s v="Bush Advantage Collection Round Conference Table"/>
    <n v="510.24"/>
    <n v="3"/>
    <n v="6.3780000000000001"/>
    <x v="3"/>
    <x v="1"/>
  </r>
  <r>
    <s v="CA-2017-166198"/>
    <x v="488"/>
    <d v="2017-04-24T00:00:00"/>
    <x v="2"/>
    <s v="JW-15955"/>
    <s v="Joni Wasserman"/>
    <x v="0"/>
    <s v="United States"/>
    <x v="15"/>
    <x v="13"/>
    <x v="1"/>
    <s v="FUR-FU-10004622"/>
    <x v="0"/>
    <x v="3"/>
    <s v="Eldon Advantage Foldable Chair Mats for Low Pile Carpets"/>
    <n v="162.6"/>
    <n v="3"/>
    <n v="34.146000000000001"/>
    <x v="0"/>
    <x v="6"/>
  </r>
  <r>
    <s v="CA-2014-135608"/>
    <x v="489"/>
    <d v="2014-12-10T00:00:00"/>
    <x v="0"/>
    <s v="JK-15625"/>
    <s v="Jim Karlsson"/>
    <x v="0"/>
    <s v="United States"/>
    <x v="84"/>
    <x v="13"/>
    <x v="1"/>
    <s v="FUR-CH-10002602"/>
    <x v="0"/>
    <x v="1"/>
    <s v="DMI Arturo Collection Mission-style Design Wood Chair"/>
    <n v="603.91999999999996"/>
    <n v="5"/>
    <n v="45.293999999999997"/>
    <x v="3"/>
    <x v="5"/>
  </r>
  <r>
    <s v="CA-2016-151155"/>
    <x v="490"/>
    <d v="2016-12-24T00:00:00"/>
    <x v="1"/>
    <s v="AB-10255"/>
    <s v="Alejandro Ballentine"/>
    <x v="2"/>
    <s v="United States"/>
    <x v="38"/>
    <x v="21"/>
    <x v="0"/>
    <s v="FUR-FU-10001918"/>
    <x v="0"/>
    <x v="3"/>
    <s v="C-Line Cubicle Keepers Polyproplyene Holder With Velcro Backings"/>
    <n v="18.920000000000002"/>
    <n v="4"/>
    <n v="7.3788"/>
    <x v="4"/>
    <x v="5"/>
  </r>
  <r>
    <s v="CA-2017-168193"/>
    <x v="491"/>
    <d v="2017-03-11T00:00:00"/>
    <x v="0"/>
    <s v="RM-19750"/>
    <s v="Roland Murray"/>
    <x v="0"/>
    <s v="United States"/>
    <x v="13"/>
    <x v="7"/>
    <x v="2"/>
    <s v="FUR-FU-10002554"/>
    <x v="0"/>
    <x v="3"/>
    <s v="Westinghouse Floor Lamp with Metal Mesh Shade, Black"/>
    <n v="71.97"/>
    <n v="3"/>
    <n v="16.553100000000001"/>
    <x v="2"/>
    <x v="9"/>
  </r>
  <r>
    <s v="CA-2016-149979"/>
    <x v="348"/>
    <d v="2016-09-28T00:00:00"/>
    <x v="0"/>
    <s v="RA-19915"/>
    <s v="Russell Applegate"/>
    <x v="0"/>
    <s v="United States"/>
    <x v="29"/>
    <x v="24"/>
    <x v="0"/>
    <s v="FUR-CH-10002084"/>
    <x v="0"/>
    <x v="1"/>
    <s v="Hon Mobius Operator's Chair"/>
    <n v="368.97"/>
    <n v="3"/>
    <n v="81.173400000000001"/>
    <x v="2"/>
    <x v="4"/>
  </r>
  <r>
    <s v="CA-2017-161956"/>
    <x v="60"/>
    <d v="2017-08-29T00:00:00"/>
    <x v="0"/>
    <s v="DR-12880"/>
    <s v="Dan Reichenbach"/>
    <x v="1"/>
    <s v="United States"/>
    <x v="209"/>
    <x v="2"/>
    <x v="1"/>
    <s v="FUR-FU-10002937"/>
    <x v="0"/>
    <x v="3"/>
    <s v="GE 48&quot; Fluorescent Tube, Cool White Energy Saver, 34 Watts, 30/Box"/>
    <n v="198.46"/>
    <n v="2"/>
    <n v="99.23"/>
    <x v="3"/>
    <x v="10"/>
  </r>
  <r>
    <s v="CA-2017-161956"/>
    <x v="60"/>
    <d v="2017-08-29T00:00:00"/>
    <x v="0"/>
    <s v="DR-12880"/>
    <s v="Dan Reichenbach"/>
    <x v="1"/>
    <s v="United States"/>
    <x v="209"/>
    <x v="2"/>
    <x v="1"/>
    <s v="FUR-CH-10004886"/>
    <x v="0"/>
    <x v="1"/>
    <s v="Bevis Steel Folding Chairs"/>
    <n v="230.28"/>
    <n v="3"/>
    <n v="23.027999999999999"/>
    <x v="3"/>
    <x v="10"/>
  </r>
  <r>
    <s v="CA-2016-116799"/>
    <x v="492"/>
    <d v="2016-03-06T00:00:00"/>
    <x v="2"/>
    <s v="JG-15310"/>
    <s v="Jason Gross"/>
    <x v="1"/>
    <s v="United States"/>
    <x v="221"/>
    <x v="5"/>
    <x v="3"/>
    <s v="FUR-CH-10004983"/>
    <x v="0"/>
    <x v="1"/>
    <s v="Office Star - Mid Back Dual function Ergonomic High Back Chair with 2-Way Adjustable Arms"/>
    <n v="563.42999999999995"/>
    <n v="5"/>
    <n v="-56.343000000000004"/>
    <x v="0"/>
    <x v="9"/>
  </r>
  <r>
    <s v="CA-2015-167745"/>
    <x v="493"/>
    <d v="2015-09-23T00:00:00"/>
    <x v="1"/>
    <s v="GB-14530"/>
    <s v="George Bell"/>
    <x v="1"/>
    <s v="United States"/>
    <x v="2"/>
    <x v="2"/>
    <x v="1"/>
    <s v="FUR-FU-10001591"/>
    <x v="0"/>
    <x v="3"/>
    <s v="Advantus Panel Wall Certificate Holder - 8.5x11"/>
    <n v="24.4"/>
    <n v="2"/>
    <n v="10.247999999999999"/>
    <x v="2"/>
    <x v="4"/>
  </r>
  <r>
    <s v="CA-2016-156251"/>
    <x v="494"/>
    <d v="2016-08-18T00:00:00"/>
    <x v="0"/>
    <s v="TS-21160"/>
    <s v="Theresa Swint"/>
    <x v="1"/>
    <s v="United States"/>
    <x v="222"/>
    <x v="16"/>
    <x v="3"/>
    <s v="FUR-BO-10001337"/>
    <x v="0"/>
    <x v="0"/>
    <s v="O'Sullivan Living Dimensions 2-Shelf Bookcases"/>
    <n v="241.96"/>
    <n v="2"/>
    <n v="24.196000000000002"/>
    <x v="2"/>
    <x v="10"/>
  </r>
  <r>
    <s v="CA-2016-163153"/>
    <x v="445"/>
    <d v="2016-03-25T00:00:00"/>
    <x v="1"/>
    <s v="DM-12955"/>
    <s v="Dario Medina"/>
    <x v="1"/>
    <s v="United States"/>
    <x v="6"/>
    <x v="5"/>
    <x v="3"/>
    <s v="FUR-TA-10004767"/>
    <x v="0"/>
    <x v="2"/>
    <s v="Safco Drafting Table"/>
    <n v="99.372"/>
    <n v="2"/>
    <n v="-1.4196"/>
    <x v="4"/>
    <x v="9"/>
  </r>
  <r>
    <s v="CA-2014-153913"/>
    <x v="439"/>
    <d v="2014-12-20T00:00:00"/>
    <x v="0"/>
    <s v="KB-16585"/>
    <s v="Ken Black"/>
    <x v="1"/>
    <s v="United States"/>
    <x v="173"/>
    <x v="1"/>
    <x v="0"/>
    <s v="FUR-CH-10000988"/>
    <x v="0"/>
    <x v="1"/>
    <s v="Hon Olson Stacker Stools"/>
    <n v="1013.832"/>
    <n v="9"/>
    <n v="101.3832"/>
    <x v="4"/>
    <x v="5"/>
  </r>
  <r>
    <s v="CA-2016-155530"/>
    <x v="495"/>
    <d v="2016-12-21T00:00:00"/>
    <x v="1"/>
    <s v="CM-12160"/>
    <s v="Charles McCrossin"/>
    <x v="0"/>
    <s v="United States"/>
    <x v="28"/>
    <x v="2"/>
    <x v="1"/>
    <s v="FUR-TA-10004256"/>
    <x v="0"/>
    <x v="2"/>
    <s v="Bretford ÒJust In TimeÓ Height-Adjustable Multi-Task Work Tables"/>
    <n v="2003.52"/>
    <n v="6"/>
    <n v="-325.572"/>
    <x v="4"/>
    <x v="5"/>
  </r>
  <r>
    <s v="CA-2015-107937"/>
    <x v="496"/>
    <d v="2015-05-08T00:00:00"/>
    <x v="1"/>
    <s v="JB-16045"/>
    <s v="Julia Barnett"/>
    <x v="2"/>
    <s v="United States"/>
    <x v="223"/>
    <x v="2"/>
    <x v="1"/>
    <s v="FUR-FU-10002298"/>
    <x v="0"/>
    <x v="3"/>
    <s v="Rubbermaid ClusterMat Chairmats, Mat Size- 66&quot; x 60&quot;, Lip 20&quot; x 11&quot; -90 Degree Angle"/>
    <n v="665.88"/>
    <n v="6"/>
    <n v="106.5408"/>
    <x v="2"/>
    <x v="7"/>
  </r>
  <r>
    <s v="US-2014-117163"/>
    <x v="497"/>
    <d v="2014-02-02T00:00:00"/>
    <x v="1"/>
    <s v="EJ-13720"/>
    <s v="Ed Jacobs"/>
    <x v="0"/>
    <s v="United States"/>
    <x v="53"/>
    <x v="2"/>
    <x v="1"/>
    <s v="FUR-TA-10003469"/>
    <x v="0"/>
    <x v="2"/>
    <s v="Balt Split Level Computer Training Table"/>
    <n v="333"/>
    <n v="3"/>
    <n v="-16.649999999999999"/>
    <x v="6"/>
    <x v="8"/>
  </r>
  <r>
    <s v="CA-2017-147760"/>
    <x v="498"/>
    <d v="2017-11-05T00:00:00"/>
    <x v="2"/>
    <s v="KL-16555"/>
    <s v="Kelly Lampkin"/>
    <x v="1"/>
    <s v="United States"/>
    <x v="224"/>
    <x v="30"/>
    <x v="0"/>
    <s v="FUR-TA-10004575"/>
    <x v="0"/>
    <x v="2"/>
    <s v="Hon 5100 Series Wood Tables"/>
    <n v="523.76400000000001"/>
    <n v="3"/>
    <n v="-192.04679999999999"/>
    <x v="5"/>
    <x v="0"/>
  </r>
  <r>
    <s v="CA-2016-156503"/>
    <x v="499"/>
    <d v="2016-10-20T00:00:00"/>
    <x v="1"/>
    <s v="NC-18415"/>
    <s v="Nathan Cano"/>
    <x v="0"/>
    <s v="United States"/>
    <x v="51"/>
    <x v="30"/>
    <x v="0"/>
    <s v="FUR-CH-10003606"/>
    <x v="0"/>
    <x v="1"/>
    <s v="SAFCO Folding Chair Trolley"/>
    <n v="102.592"/>
    <n v="1"/>
    <n v="10.2592"/>
    <x v="6"/>
    <x v="1"/>
  </r>
  <r>
    <s v="CA-2015-113628"/>
    <x v="500"/>
    <d v="2015-11-19T00:00:00"/>
    <x v="1"/>
    <s v="AH-10690"/>
    <s v="Anna HŠberlin"/>
    <x v="1"/>
    <s v="United States"/>
    <x v="217"/>
    <x v="1"/>
    <x v="0"/>
    <s v="FUR-CH-10003298"/>
    <x v="0"/>
    <x v="1"/>
    <s v="Office Star - Contemporary Task Swivel chair with Loop Arms, Charcoal"/>
    <n v="523.91999999999996"/>
    <n v="5"/>
    <n v="-72.039000000000001"/>
    <x v="1"/>
    <x v="0"/>
  </r>
  <r>
    <s v="CA-2015-113628"/>
    <x v="500"/>
    <d v="2015-11-19T00:00:00"/>
    <x v="1"/>
    <s v="AH-10690"/>
    <s v="Anna HŠberlin"/>
    <x v="1"/>
    <s v="United States"/>
    <x v="217"/>
    <x v="1"/>
    <x v="0"/>
    <s v="FUR-CH-10004477"/>
    <x v="0"/>
    <x v="1"/>
    <s v="Global Push Button Manager's Chair, Indigo"/>
    <n v="146.136"/>
    <n v="3"/>
    <n v="16.440300000000001"/>
    <x v="1"/>
    <x v="0"/>
  </r>
  <r>
    <s v="CA-2015-102582"/>
    <x v="195"/>
    <d v="2015-09-19T00:00:00"/>
    <x v="1"/>
    <s v="NW-18400"/>
    <s v="Natalie Webber"/>
    <x v="0"/>
    <s v="United States"/>
    <x v="212"/>
    <x v="33"/>
    <x v="0"/>
    <s v="FUR-TA-10003569"/>
    <x v="0"/>
    <x v="2"/>
    <s v="Bretford CR8500 Series Meeting Room Furniture"/>
    <n v="801.96"/>
    <n v="2"/>
    <n v="200.49"/>
    <x v="4"/>
    <x v="4"/>
  </r>
  <r>
    <s v="CA-2015-102582"/>
    <x v="195"/>
    <d v="2015-09-19T00:00:00"/>
    <x v="1"/>
    <s v="NW-18400"/>
    <s v="Natalie Webber"/>
    <x v="0"/>
    <s v="United States"/>
    <x v="212"/>
    <x v="33"/>
    <x v="0"/>
    <s v="FUR-CH-10004853"/>
    <x v="0"/>
    <x v="1"/>
    <s v="Global Manager's Adjustable Task Chair, Storm"/>
    <n v="1056.8599999999999"/>
    <n v="7"/>
    <n v="306.48939999999999"/>
    <x v="4"/>
    <x v="4"/>
  </r>
  <r>
    <s v="CA-2017-141873"/>
    <x v="224"/>
    <d v="2017-10-14T00:00:00"/>
    <x v="1"/>
    <s v="HG-14845"/>
    <s v="Harry Greene"/>
    <x v="0"/>
    <s v="United States"/>
    <x v="13"/>
    <x v="7"/>
    <x v="2"/>
    <s v="FUR-BO-10003034"/>
    <x v="0"/>
    <x v="0"/>
    <s v="O'Sullivan Elevations Bookcase, Cherry Finish"/>
    <n v="314.35199999999998"/>
    <n v="3"/>
    <n v="-15.717599999999999"/>
    <x v="2"/>
    <x v="1"/>
  </r>
  <r>
    <s v="CA-2017-141733"/>
    <x v="501"/>
    <d v="2017-05-11T00:00:00"/>
    <x v="1"/>
    <s v="RW-19540"/>
    <s v="Rick Wilson"/>
    <x v="1"/>
    <s v="United States"/>
    <x v="25"/>
    <x v="17"/>
    <x v="3"/>
    <s v="FUR-CH-10004086"/>
    <x v="0"/>
    <x v="1"/>
    <s v="Hon 4070 Series Pagoda Armless Upholstered Stacking Chairs"/>
    <n v="1458.65"/>
    <n v="5"/>
    <n v="423.00850000000003"/>
    <x v="4"/>
    <x v="7"/>
  </r>
  <r>
    <s v="CA-2017-141733"/>
    <x v="501"/>
    <d v="2017-05-11T00:00:00"/>
    <x v="1"/>
    <s v="RW-19540"/>
    <s v="Rick Wilson"/>
    <x v="1"/>
    <s v="United States"/>
    <x v="25"/>
    <x v="17"/>
    <x v="3"/>
    <s v="FUR-CH-10002017"/>
    <x v="0"/>
    <x v="1"/>
    <s v="SAFCO Optional Arm Kit for Workspace Cribbage Stacking Chair"/>
    <n v="26.64"/>
    <n v="1"/>
    <n v="7.4592000000000001"/>
    <x v="4"/>
    <x v="7"/>
  </r>
  <r>
    <s v="CA-2017-141733"/>
    <x v="501"/>
    <d v="2017-05-11T00:00:00"/>
    <x v="1"/>
    <s v="RW-19540"/>
    <s v="Rick Wilson"/>
    <x v="1"/>
    <s v="United States"/>
    <x v="25"/>
    <x v="17"/>
    <x v="3"/>
    <s v="FUR-CH-10000595"/>
    <x v="0"/>
    <x v="1"/>
    <s v="Safco Contoured Stacking Chairs"/>
    <n v="476.8"/>
    <n v="2"/>
    <n v="119.2"/>
    <x v="4"/>
    <x v="7"/>
  </r>
  <r>
    <s v="US-2015-111927"/>
    <x v="502"/>
    <d v="2015-11-19T00:00:00"/>
    <x v="1"/>
    <s v="LS-17230"/>
    <s v="Lycoris Saunders"/>
    <x v="0"/>
    <s v="United States"/>
    <x v="63"/>
    <x v="14"/>
    <x v="2"/>
    <s v="FUR-FU-10004017"/>
    <x v="0"/>
    <x v="3"/>
    <s v="Executive Impressions 13&quot; Chairman Wall Clock"/>
    <n v="76.14"/>
    <n v="3"/>
    <n v="26.649000000000001"/>
    <x v="2"/>
    <x v="0"/>
  </r>
  <r>
    <s v="CA-2014-105984"/>
    <x v="168"/>
    <d v="2014-11-24T00:00:00"/>
    <x v="3"/>
    <s v="MY-18295"/>
    <s v="Muhammed Yedwab"/>
    <x v="1"/>
    <s v="United States"/>
    <x v="29"/>
    <x v="15"/>
    <x v="2"/>
    <s v="FUR-CH-10000847"/>
    <x v="0"/>
    <x v="1"/>
    <s v="Global Executive Mid-Back Manager's Chair"/>
    <n v="611.05799999999999"/>
    <n v="3"/>
    <n v="-34.9176"/>
    <x v="7"/>
    <x v="0"/>
  </r>
  <r>
    <s v="CA-2014-126760"/>
    <x v="503"/>
    <d v="2014-08-02T00:00:00"/>
    <x v="1"/>
    <s v="KM-16720"/>
    <s v="Kunst Miller"/>
    <x v="0"/>
    <s v="United States"/>
    <x v="111"/>
    <x v="34"/>
    <x v="1"/>
    <s v="FUR-CH-10003312"/>
    <x v="0"/>
    <x v="1"/>
    <s v="Hon 2090 ÒPillow SoftÓ Series Mid Back Swivel/Tilt Chairs"/>
    <n v="674.35199999999998"/>
    <n v="3"/>
    <n v="-109.5822"/>
    <x v="1"/>
    <x v="3"/>
  </r>
  <r>
    <s v="CA-2014-126760"/>
    <x v="503"/>
    <d v="2014-08-02T00:00:00"/>
    <x v="1"/>
    <s v="KM-16720"/>
    <s v="Kunst Miller"/>
    <x v="0"/>
    <s v="United States"/>
    <x v="111"/>
    <x v="34"/>
    <x v="1"/>
    <s v="FUR-FU-10004018"/>
    <x v="0"/>
    <x v="3"/>
    <s v="Tensor Computer Mounted Lamp"/>
    <n v="134.01"/>
    <n v="9"/>
    <n v="36.182699999999997"/>
    <x v="1"/>
    <x v="3"/>
  </r>
  <r>
    <s v="US-2014-109162"/>
    <x v="391"/>
    <d v="2014-06-12T00:00:00"/>
    <x v="1"/>
    <s v="KE-16420"/>
    <s v="Katrina Edelman"/>
    <x v="1"/>
    <s v="United States"/>
    <x v="203"/>
    <x v="9"/>
    <x v="0"/>
    <s v="FUR-CH-10002647"/>
    <x v="0"/>
    <x v="1"/>
    <s v="Situations Contoured Folding Chairs, 4/Set"/>
    <n v="170.352"/>
    <n v="3"/>
    <n v="10.647"/>
    <x v="4"/>
    <x v="2"/>
  </r>
  <r>
    <s v="CA-2014-101931"/>
    <x v="504"/>
    <d v="2014-10-31T00:00:00"/>
    <x v="2"/>
    <s v="TS-21370"/>
    <s v="Todd Sumrall"/>
    <x v="1"/>
    <s v="United States"/>
    <x v="2"/>
    <x v="2"/>
    <x v="1"/>
    <s v="FUR-BO-10001337"/>
    <x v="0"/>
    <x v="0"/>
    <s v="O'Sullivan Living Dimensions 2-Shelf Bookcases"/>
    <n v="616.99800000000005"/>
    <n v="6"/>
    <n v="-36.293999999999997"/>
    <x v="0"/>
    <x v="1"/>
  </r>
  <r>
    <s v="CA-2015-127593"/>
    <x v="231"/>
    <d v="2015-09-21T00:00:00"/>
    <x v="3"/>
    <s v="DH-13675"/>
    <s v="Duane Huffman"/>
    <x v="2"/>
    <s v="United States"/>
    <x v="202"/>
    <x v="20"/>
    <x v="2"/>
    <s v="FUR-FU-10004006"/>
    <x v="0"/>
    <x v="3"/>
    <s v="Deflect-o DuraMat Lighweight, Studded, Beveled Mat for Low Pile Carpeting"/>
    <n v="85.3"/>
    <n v="2"/>
    <n v="14.500999999999999"/>
    <x v="7"/>
    <x v="4"/>
  </r>
  <r>
    <s v="US-2017-131849"/>
    <x v="505"/>
    <d v="2017-06-10T00:00:00"/>
    <x v="1"/>
    <s v="GH-14410"/>
    <s v="Gary Hansen"/>
    <x v="2"/>
    <s v="United States"/>
    <x v="28"/>
    <x v="2"/>
    <x v="1"/>
    <s v="FUR-FU-10004164"/>
    <x v="0"/>
    <x v="3"/>
    <s v="Eldon 300 Class Desk Accessories, Black"/>
    <n v="4.95"/>
    <n v="1"/>
    <n v="2.1779999999999999"/>
    <x v="4"/>
    <x v="2"/>
  </r>
  <r>
    <s v="CA-2017-154039"/>
    <x v="506"/>
    <d v="2017-02-22T00:00:00"/>
    <x v="1"/>
    <s v="JK-16120"/>
    <s v="Julie Kriz"/>
    <x v="2"/>
    <s v="United States"/>
    <x v="9"/>
    <x v="8"/>
    <x v="3"/>
    <s v="FUR-TA-10001932"/>
    <x v="0"/>
    <x v="2"/>
    <s v="Chromcraft 48&quot; x 96&quot; Racetrack Double Pedestal Table"/>
    <n v="480.96"/>
    <n v="3"/>
    <n v="-269.33760000000001"/>
    <x v="2"/>
    <x v="11"/>
  </r>
  <r>
    <s v="CA-2015-157133"/>
    <x v="44"/>
    <d v="2015-12-03T00:00:00"/>
    <x v="1"/>
    <s v="LC-16885"/>
    <s v="Lena Creighton"/>
    <x v="0"/>
    <s v="United States"/>
    <x v="225"/>
    <x v="8"/>
    <x v="3"/>
    <s v="FUR-FU-10004904"/>
    <x v="0"/>
    <x v="3"/>
    <s v="Eldon &quot;L&quot; Workstation Diamond Chairmat"/>
    <n v="151.96"/>
    <n v="5"/>
    <n v="-182.352"/>
    <x v="2"/>
    <x v="0"/>
  </r>
  <r>
    <s v="CA-2015-132486"/>
    <x v="507"/>
    <d v="2015-10-27T00:00:00"/>
    <x v="0"/>
    <s v="JF-15355"/>
    <s v="Jay Fein"/>
    <x v="0"/>
    <s v="United States"/>
    <x v="53"/>
    <x v="2"/>
    <x v="1"/>
    <s v="FUR-CH-10004495"/>
    <x v="0"/>
    <x v="1"/>
    <s v="Global Leather and Oak Executive Chair, Black"/>
    <n v="240.78399999999999"/>
    <n v="1"/>
    <n v="27.088200000000001"/>
    <x v="4"/>
    <x v="1"/>
  </r>
  <r>
    <s v="CA-2015-132486"/>
    <x v="507"/>
    <d v="2015-10-27T00:00:00"/>
    <x v="0"/>
    <s v="JF-15355"/>
    <s v="Jay Fein"/>
    <x v="0"/>
    <s v="United States"/>
    <x v="53"/>
    <x v="2"/>
    <x v="1"/>
    <s v="FUR-CH-10004540"/>
    <x v="0"/>
    <x v="1"/>
    <s v="Global Chrome Stack Chair"/>
    <n v="191.96799999999999"/>
    <n v="7"/>
    <n v="16.7972"/>
    <x v="4"/>
    <x v="1"/>
  </r>
  <r>
    <s v="CA-2015-132486"/>
    <x v="507"/>
    <d v="2015-10-27T00:00:00"/>
    <x v="0"/>
    <s v="JF-15355"/>
    <s v="Jay Fein"/>
    <x v="0"/>
    <s v="United States"/>
    <x v="53"/>
    <x v="2"/>
    <x v="1"/>
    <s v="FUR-CH-10001854"/>
    <x v="0"/>
    <x v="1"/>
    <s v="Office Star - Professional Matrix Back Chair with 2-to-1 Synchro Tilt and Mesh Fabric Seat"/>
    <n v="842.35199999999998"/>
    <n v="3"/>
    <n v="42.117600000000003"/>
    <x v="4"/>
    <x v="1"/>
  </r>
  <r>
    <s v="CA-2015-129896"/>
    <x v="508"/>
    <d v="2015-06-20T00:00:00"/>
    <x v="1"/>
    <s v="PF-19120"/>
    <s v="Peter Fuller"/>
    <x v="0"/>
    <s v="United States"/>
    <x v="171"/>
    <x v="22"/>
    <x v="1"/>
    <s v="FUR-FU-10004904"/>
    <x v="0"/>
    <x v="3"/>
    <s v="Eldon &quot;L&quot; Workstation Diamond Chairmat"/>
    <n v="364.70400000000001"/>
    <n v="6"/>
    <n v="-36.470399999999998"/>
    <x v="2"/>
    <x v="2"/>
  </r>
  <r>
    <s v="CA-2015-129896"/>
    <x v="508"/>
    <d v="2015-06-20T00:00:00"/>
    <x v="1"/>
    <s v="PF-19120"/>
    <s v="Peter Fuller"/>
    <x v="0"/>
    <s v="United States"/>
    <x v="171"/>
    <x v="22"/>
    <x v="1"/>
    <s v="FUR-FU-10002396"/>
    <x v="0"/>
    <x v="3"/>
    <s v="DAX Copper Panel Document Frame, 5 x 7 Size"/>
    <n v="40.256"/>
    <n v="4"/>
    <n v="11.070399999999999"/>
    <x v="2"/>
    <x v="2"/>
  </r>
  <r>
    <s v="US-2016-163881"/>
    <x v="243"/>
    <d v="2016-11-30T00:00:00"/>
    <x v="1"/>
    <s v="SP-20860"/>
    <s v="Sung Pak"/>
    <x v="1"/>
    <s v="United States"/>
    <x v="2"/>
    <x v="2"/>
    <x v="1"/>
    <s v="FUR-CH-10001394"/>
    <x v="0"/>
    <x v="1"/>
    <s v="Global Leather Executive Chair"/>
    <n v="1684.752"/>
    <n v="6"/>
    <n v="210.59399999999999"/>
    <x v="6"/>
    <x v="0"/>
  </r>
  <r>
    <s v="CA-2015-167010"/>
    <x v="509"/>
    <d v="2015-04-10T00:00:00"/>
    <x v="1"/>
    <s v="VT-21700"/>
    <s v="Valerie Takahito"/>
    <x v="2"/>
    <s v="United States"/>
    <x v="3"/>
    <x v="3"/>
    <x v="2"/>
    <s v="FUR-FU-10001468"/>
    <x v="0"/>
    <x v="3"/>
    <s v="Tenex Antistatic Computer Chair Mats"/>
    <n v="547.13599999999997"/>
    <n v="4"/>
    <n v="-68.391999999999996"/>
    <x v="2"/>
    <x v="6"/>
  </r>
  <r>
    <s v="CA-2015-167010"/>
    <x v="509"/>
    <d v="2015-04-10T00:00:00"/>
    <x v="1"/>
    <s v="VT-21700"/>
    <s v="Valerie Takahito"/>
    <x v="2"/>
    <s v="United States"/>
    <x v="3"/>
    <x v="3"/>
    <x v="2"/>
    <s v="FUR-FU-10001037"/>
    <x v="0"/>
    <x v="3"/>
    <s v="DAX Charcoal/Nickel-Tone Document Frame, 5 x 7"/>
    <n v="7.5839999999999996"/>
    <n v="1"/>
    <n v="2.37"/>
    <x v="2"/>
    <x v="6"/>
  </r>
  <r>
    <s v="CA-2015-167010"/>
    <x v="509"/>
    <d v="2015-04-10T00:00:00"/>
    <x v="1"/>
    <s v="VT-21700"/>
    <s v="Valerie Takahito"/>
    <x v="2"/>
    <s v="United States"/>
    <x v="3"/>
    <x v="3"/>
    <x v="2"/>
    <s v="FUR-BO-10004218"/>
    <x v="0"/>
    <x v="0"/>
    <s v="Bush Heritage Pine Collection 5-Shelf Bookcase, Albany Pine Finish, *Special Order"/>
    <n v="352.45"/>
    <n v="5"/>
    <n v="-211.47"/>
    <x v="2"/>
    <x v="6"/>
  </r>
  <r>
    <s v="CA-2017-148068"/>
    <x v="510"/>
    <d v="2017-09-25T00:00:00"/>
    <x v="1"/>
    <s v="MM-18280"/>
    <s v="Muhammed MacIntyre"/>
    <x v="1"/>
    <s v="United States"/>
    <x v="13"/>
    <x v="7"/>
    <x v="2"/>
    <s v="FUR-FU-10002268"/>
    <x v="0"/>
    <x v="3"/>
    <s v="Ultra Door Push Plate"/>
    <n v="9.82"/>
    <n v="2"/>
    <n v="3.2406000000000001"/>
    <x v="1"/>
    <x v="4"/>
  </r>
  <r>
    <s v="US-2017-142573"/>
    <x v="511"/>
    <d v="2017-07-23T00:00:00"/>
    <x v="1"/>
    <s v="ML-17410"/>
    <s v="Maris LaWare"/>
    <x v="0"/>
    <s v="United States"/>
    <x v="43"/>
    <x v="22"/>
    <x v="1"/>
    <s v="FUR-TA-10001932"/>
    <x v="0"/>
    <x v="2"/>
    <s v="Chromcraft 48&quot; x 96&quot; Racetrack Double Pedestal Table"/>
    <n v="801.6"/>
    <n v="5"/>
    <n v="-448.89600000000002"/>
    <x v="2"/>
    <x v="3"/>
  </r>
  <r>
    <s v="US-2017-142573"/>
    <x v="511"/>
    <d v="2017-07-23T00:00:00"/>
    <x v="1"/>
    <s v="ML-17410"/>
    <s v="Maris LaWare"/>
    <x v="0"/>
    <s v="United States"/>
    <x v="43"/>
    <x v="22"/>
    <x v="1"/>
    <s v="FUR-CH-10004218"/>
    <x v="0"/>
    <x v="1"/>
    <s v="Global Fabric Manager's Chair, Dark Gray"/>
    <n v="161.56800000000001"/>
    <n v="2"/>
    <n v="10.098000000000001"/>
    <x v="2"/>
    <x v="3"/>
  </r>
  <r>
    <s v="US-2017-142573"/>
    <x v="511"/>
    <d v="2017-07-23T00:00:00"/>
    <x v="1"/>
    <s v="ML-17410"/>
    <s v="Maris LaWare"/>
    <x v="0"/>
    <s v="United States"/>
    <x v="43"/>
    <x v="22"/>
    <x v="1"/>
    <s v="FUR-CH-10000513"/>
    <x v="0"/>
    <x v="1"/>
    <s v="High-Back Leather Manager's Chair"/>
    <n v="311.976"/>
    <n v="3"/>
    <n v="-42.896700000000003"/>
    <x v="2"/>
    <x v="3"/>
  </r>
  <r>
    <s v="CA-2014-103940"/>
    <x v="512"/>
    <d v="2014-09-21T00:00:00"/>
    <x v="1"/>
    <s v="BN-11515"/>
    <s v="Bradley Nguyen"/>
    <x v="0"/>
    <s v="United States"/>
    <x v="15"/>
    <x v="13"/>
    <x v="1"/>
    <s v="FUR-FU-10004671"/>
    <x v="0"/>
    <x v="3"/>
    <s v="Executive Impressions 12&quot; Wall Clock"/>
    <n v="35.340000000000003"/>
    <n v="2"/>
    <n v="13.4292"/>
    <x v="4"/>
    <x v="4"/>
  </r>
  <r>
    <s v="CA-2016-162082"/>
    <x v="269"/>
    <d v="2016-03-17T00:00:00"/>
    <x v="2"/>
    <s v="JS-15880"/>
    <s v="John Stevenson"/>
    <x v="0"/>
    <s v="United States"/>
    <x v="226"/>
    <x v="5"/>
    <x v="3"/>
    <s v="FUR-BO-10004409"/>
    <x v="0"/>
    <x v="0"/>
    <s v="Safco Value Mate Series Steel Bookcases, Baked Enamel Finish on Steel, Gray"/>
    <n v="241.33199999999999"/>
    <n v="5"/>
    <n v="-14.196"/>
    <x v="0"/>
    <x v="9"/>
  </r>
  <r>
    <s v="CA-2015-118955"/>
    <x v="513"/>
    <d v="2015-06-20T00:00:00"/>
    <x v="1"/>
    <s v="LS-17230"/>
    <s v="Lycoris Saunders"/>
    <x v="0"/>
    <s v="United States"/>
    <x v="141"/>
    <x v="5"/>
    <x v="3"/>
    <s v="FUR-CH-10001708"/>
    <x v="0"/>
    <x v="1"/>
    <s v="Office Star - Contemporary Swivel Chair with Padded Adjustable Arms and Flex Back"/>
    <n v="197.37200000000001"/>
    <n v="2"/>
    <n v="-25.3764"/>
    <x v="4"/>
    <x v="2"/>
  </r>
  <r>
    <s v="US-2016-143448"/>
    <x v="43"/>
    <d v="2016-12-10T00:00:00"/>
    <x v="3"/>
    <s v="MH-17455"/>
    <s v="Mark Hamilton"/>
    <x v="0"/>
    <s v="United States"/>
    <x v="227"/>
    <x v="6"/>
    <x v="3"/>
    <s v="FUR-CH-10003379"/>
    <x v="0"/>
    <x v="1"/>
    <s v="Global Commerce Series High-Back Swivel/Tilt Chairs"/>
    <n v="1424.9"/>
    <n v="5"/>
    <n v="356.22500000000002"/>
    <x v="7"/>
    <x v="5"/>
  </r>
  <r>
    <s v="CA-2017-117863"/>
    <x v="514"/>
    <d v="2017-05-23T00:00:00"/>
    <x v="1"/>
    <s v="TS-21340"/>
    <s v="Toby Swindell"/>
    <x v="0"/>
    <s v="United States"/>
    <x v="13"/>
    <x v="7"/>
    <x v="2"/>
    <s v="FUR-FU-10002456"/>
    <x v="0"/>
    <x v="3"/>
    <s v="Master Caster Door Stop, Large Neon Orange"/>
    <n v="14.56"/>
    <n v="2"/>
    <n v="6.2607999999999997"/>
    <x v="2"/>
    <x v="7"/>
  </r>
  <r>
    <s v="CA-2016-119963"/>
    <x v="515"/>
    <d v="2016-11-22T00:00:00"/>
    <x v="1"/>
    <s v="SN-20710"/>
    <s v="Steve Nguyen"/>
    <x v="2"/>
    <s v="United States"/>
    <x v="102"/>
    <x v="5"/>
    <x v="3"/>
    <s v="FUR-CH-10003817"/>
    <x v="0"/>
    <x v="1"/>
    <s v="Global Value Steno Chair, Gray"/>
    <n v="255.108"/>
    <n v="6"/>
    <n v="-18.222000000000001"/>
    <x v="4"/>
    <x v="0"/>
  </r>
  <r>
    <s v="CA-2014-133228"/>
    <x v="516"/>
    <d v="2014-04-09T00:00:00"/>
    <x v="1"/>
    <s v="MS-17710"/>
    <s v="Maurice Satty"/>
    <x v="0"/>
    <s v="United States"/>
    <x v="25"/>
    <x v="17"/>
    <x v="3"/>
    <s v="FUR-FU-10004020"/>
    <x v="0"/>
    <x v="3"/>
    <s v="Advantus Panel Wall Acrylic Frame"/>
    <n v="5.47"/>
    <n v="1"/>
    <n v="2.3521000000000001"/>
    <x v="2"/>
    <x v="6"/>
  </r>
  <r>
    <s v="CA-2016-114951"/>
    <x v="517"/>
    <d v="2016-07-03T00:00:00"/>
    <x v="1"/>
    <s v="DN-13690"/>
    <s v="Duane Noonan"/>
    <x v="0"/>
    <s v="United States"/>
    <x v="28"/>
    <x v="2"/>
    <x v="1"/>
    <s v="FUR-FU-10002364"/>
    <x v="0"/>
    <x v="3"/>
    <s v="Eldon Expressions Wood Desk Accessories, Oak"/>
    <n v="22.14"/>
    <n v="3"/>
    <n v="6.4206000000000003"/>
    <x v="1"/>
    <x v="2"/>
  </r>
  <r>
    <s v="CA-2016-156573"/>
    <x v="518"/>
    <d v="2016-06-02T00:00:00"/>
    <x v="1"/>
    <s v="RB-19360"/>
    <s v="Raymond Buch"/>
    <x v="0"/>
    <s v="United States"/>
    <x v="228"/>
    <x v="9"/>
    <x v="0"/>
    <s v="FUR-FU-10001085"/>
    <x v="0"/>
    <x v="3"/>
    <s v="3M Polarizing Light Filter Sleeves"/>
    <n v="44.76"/>
    <n v="3"/>
    <n v="14.547000000000001"/>
    <x v="4"/>
    <x v="7"/>
  </r>
  <r>
    <s v="CA-2017-134838"/>
    <x v="519"/>
    <d v="2017-02-20T00:00:00"/>
    <x v="2"/>
    <s v="ED-13885"/>
    <s v="Emily Ducich"/>
    <x v="2"/>
    <s v="United States"/>
    <x v="2"/>
    <x v="2"/>
    <x v="1"/>
    <s v="FUR-FU-10004018"/>
    <x v="0"/>
    <x v="3"/>
    <s v="Tensor Computer Mounted Lamp"/>
    <n v="44.67"/>
    <n v="3"/>
    <n v="12.0609"/>
    <x v="5"/>
    <x v="11"/>
  </r>
  <r>
    <s v="CA-2016-167556"/>
    <x v="477"/>
    <d v="2016-04-02T00:00:00"/>
    <x v="1"/>
    <s v="JM-15250"/>
    <s v="Janet Martin"/>
    <x v="0"/>
    <s v="United States"/>
    <x v="13"/>
    <x v="7"/>
    <x v="2"/>
    <s v="FUR-FU-10004848"/>
    <x v="0"/>
    <x v="3"/>
    <s v="Howard Miller 13-3/4&quot; Diameter Brushed Chrome Round Wall Clock"/>
    <n v="414"/>
    <n v="8"/>
    <n v="124.2"/>
    <x v="4"/>
    <x v="9"/>
  </r>
  <r>
    <s v="US-2016-116400"/>
    <x v="148"/>
    <d v="2016-10-24T00:00:00"/>
    <x v="2"/>
    <s v="EB-13930"/>
    <s v="Eric Barreto"/>
    <x v="0"/>
    <s v="United States"/>
    <x v="52"/>
    <x v="25"/>
    <x v="0"/>
    <s v="FUR-FU-10003731"/>
    <x v="0"/>
    <x v="3"/>
    <s v="Eldon Expressions Wood and Plastic Desk Accessories, Oak"/>
    <n v="39.92"/>
    <n v="4"/>
    <n v="11.1776"/>
    <x v="3"/>
    <x v="1"/>
  </r>
  <r>
    <s v="CA-2014-114517"/>
    <x v="520"/>
    <d v="2014-12-27T00:00:00"/>
    <x v="1"/>
    <s v="TH-21235"/>
    <s v="Tiffany House"/>
    <x v="1"/>
    <s v="United States"/>
    <x v="13"/>
    <x v="7"/>
    <x v="2"/>
    <s v="FUR-TA-10001676"/>
    <x v="0"/>
    <x v="2"/>
    <s v="Hon 61000 Series Interactive Training Tables"/>
    <n v="53.316000000000003"/>
    <n v="2"/>
    <n v="-19.549199999999999"/>
    <x v="4"/>
    <x v="5"/>
  </r>
  <r>
    <s v="CA-2017-119564"/>
    <x v="521"/>
    <d v="2017-12-20T00:00:00"/>
    <x v="1"/>
    <s v="PL-18925"/>
    <s v="Paul Lucas"/>
    <x v="2"/>
    <s v="United States"/>
    <x v="15"/>
    <x v="13"/>
    <x v="1"/>
    <s v="FUR-FU-10003096"/>
    <x v="0"/>
    <x v="3"/>
    <s v="Master Giant Foot Doorstop, Safety Yellow"/>
    <n v="22.77"/>
    <n v="3"/>
    <n v="9.7911000000000001"/>
    <x v="2"/>
    <x v="5"/>
  </r>
  <r>
    <s v="CA-2016-135265"/>
    <x v="281"/>
    <d v="2016-07-09T00:00:00"/>
    <x v="0"/>
    <s v="CC-12370"/>
    <s v="Christopher Conant"/>
    <x v="0"/>
    <s v="United States"/>
    <x v="2"/>
    <x v="2"/>
    <x v="1"/>
    <s v="FUR-CH-10003061"/>
    <x v="0"/>
    <x v="1"/>
    <s v="Global Leather Task Chair, Black"/>
    <n v="287.96800000000002"/>
    <n v="4"/>
    <n v="-3.5996000000000001"/>
    <x v="3"/>
    <x v="3"/>
  </r>
  <r>
    <s v="CA-2016-108735"/>
    <x v="380"/>
    <d v="2016-04-21T00:00:00"/>
    <x v="1"/>
    <s v="JM-15535"/>
    <s v="Jessica Myrick"/>
    <x v="0"/>
    <s v="United States"/>
    <x v="174"/>
    <x v="2"/>
    <x v="1"/>
    <s v="FUR-BO-10003441"/>
    <x v="0"/>
    <x v="0"/>
    <s v="Bush Westfield Collection Bookcases, Fully Assembled"/>
    <n v="257.49900000000002"/>
    <n v="3"/>
    <n v="24.235199999999999"/>
    <x v="4"/>
    <x v="6"/>
  </r>
  <r>
    <s v="US-2016-159415"/>
    <x v="380"/>
    <d v="2016-04-22T00:00:00"/>
    <x v="1"/>
    <s v="CS-12175"/>
    <s v="Charles Sheldon"/>
    <x v="1"/>
    <s v="United States"/>
    <x v="11"/>
    <x v="9"/>
    <x v="0"/>
    <s v="FUR-FU-10003798"/>
    <x v="0"/>
    <x v="3"/>
    <s v="Ultra Door Kickplate, 8&quot;H x 34&quot;W"/>
    <n v="79.12"/>
    <n v="5"/>
    <n v="13.846"/>
    <x v="2"/>
    <x v="6"/>
  </r>
  <r>
    <s v="CA-2014-122588"/>
    <x v="306"/>
    <d v="2014-11-27T00:00:00"/>
    <x v="0"/>
    <s v="AR-10540"/>
    <s v="Andy Reiter"/>
    <x v="0"/>
    <s v="United States"/>
    <x v="229"/>
    <x v="38"/>
    <x v="2"/>
    <s v="FUR-FU-10001095"/>
    <x v="0"/>
    <x v="3"/>
    <s v="DAX Black Cherry Wood-Tone Poster Frame"/>
    <n v="52.96"/>
    <n v="2"/>
    <n v="20.1248"/>
    <x v="3"/>
    <x v="0"/>
  </r>
  <r>
    <s v="CA-2015-161998"/>
    <x v="522"/>
    <d v="2015-05-05T00:00:00"/>
    <x v="1"/>
    <s v="DB-13120"/>
    <s v="David Bremer"/>
    <x v="1"/>
    <s v="United States"/>
    <x v="26"/>
    <x v="1"/>
    <x v="0"/>
    <s v="FUR-FU-10001095"/>
    <x v="0"/>
    <x v="3"/>
    <s v="DAX Black Cherry Wood-Tone Poster Frame"/>
    <n v="63.552"/>
    <n v="3"/>
    <n v="14.299200000000001"/>
    <x v="4"/>
    <x v="7"/>
  </r>
  <r>
    <s v="CA-2015-105627"/>
    <x v="523"/>
    <d v="2015-03-12T00:00:00"/>
    <x v="1"/>
    <s v="DK-12895"/>
    <s v="Dana Kaydos"/>
    <x v="0"/>
    <s v="United States"/>
    <x v="230"/>
    <x v="16"/>
    <x v="3"/>
    <s v="FUR-BO-10002916"/>
    <x v="0"/>
    <x v="0"/>
    <s v="Rush Hierlooms Collection 1&quot; Thick Stackable Bookcases"/>
    <n v="512.94000000000005"/>
    <n v="3"/>
    <n v="97.458600000000004"/>
    <x v="4"/>
    <x v="9"/>
  </r>
  <r>
    <s v="CA-2015-105627"/>
    <x v="523"/>
    <d v="2015-03-12T00:00:00"/>
    <x v="1"/>
    <s v="DK-12895"/>
    <s v="Dana Kaydos"/>
    <x v="0"/>
    <s v="United States"/>
    <x v="230"/>
    <x v="16"/>
    <x v="3"/>
    <s v="FUR-CH-10002084"/>
    <x v="0"/>
    <x v="1"/>
    <s v="Hon Mobius Operator's Chair"/>
    <n v="860.93"/>
    <n v="7"/>
    <n v="189.40459999999999"/>
    <x v="4"/>
    <x v="9"/>
  </r>
  <r>
    <s v="CA-2015-105627"/>
    <x v="523"/>
    <d v="2015-03-12T00:00:00"/>
    <x v="1"/>
    <s v="DK-12895"/>
    <s v="Dana Kaydos"/>
    <x v="0"/>
    <s v="United States"/>
    <x v="230"/>
    <x v="16"/>
    <x v="3"/>
    <s v="FUR-FU-10000308"/>
    <x v="0"/>
    <x v="3"/>
    <s v="Deflect-o Glass Clear Studded Chair Mats"/>
    <n v="373.08"/>
    <n v="6"/>
    <n v="82.077600000000004"/>
    <x v="4"/>
    <x v="9"/>
  </r>
  <r>
    <s v="US-2015-149629"/>
    <x v="392"/>
    <d v="2015-07-20T00:00:00"/>
    <x v="0"/>
    <s v="MP-17965"/>
    <s v="Michael Paige"/>
    <x v="1"/>
    <s v="United States"/>
    <x v="231"/>
    <x v="1"/>
    <x v="0"/>
    <s v="FUR-BO-10004709"/>
    <x v="0"/>
    <x v="0"/>
    <s v="Bush Westfield Collection Bookcases, Medium Cherry Finish"/>
    <n v="231.92"/>
    <n v="5"/>
    <n v="5.798"/>
    <x v="0"/>
    <x v="3"/>
  </r>
  <r>
    <s v="CA-2014-116834"/>
    <x v="524"/>
    <d v="2014-10-16T00:00:00"/>
    <x v="1"/>
    <s v="Dp-13240"/>
    <s v="Dean percer"/>
    <x v="2"/>
    <s v="United States"/>
    <x v="15"/>
    <x v="13"/>
    <x v="1"/>
    <s v="FUR-FU-10001196"/>
    <x v="0"/>
    <x v="3"/>
    <s v="DAX Cubicle Frames - 8x10"/>
    <n v="63.47"/>
    <n v="11"/>
    <n v="19.041"/>
    <x v="2"/>
    <x v="1"/>
  </r>
  <r>
    <s v="CA-2016-145730"/>
    <x v="492"/>
    <d v="2016-03-08T00:00:00"/>
    <x v="1"/>
    <s v="CC-12220"/>
    <s v="Chris Cortes"/>
    <x v="0"/>
    <s v="United States"/>
    <x v="21"/>
    <x v="5"/>
    <x v="3"/>
    <s v="FUR-TA-10004915"/>
    <x v="0"/>
    <x v="2"/>
    <s v="Office Impressions End Table, 20-1/2&quot;H x 24&quot;W x 20&quot;D"/>
    <n v="637.89599999999996"/>
    <n v="3"/>
    <n v="-127.5792"/>
    <x v="2"/>
    <x v="9"/>
  </r>
  <r>
    <s v="CA-2017-144463"/>
    <x v="143"/>
    <d v="2017-01-05T00:00:00"/>
    <x v="1"/>
    <s v="SC-20725"/>
    <s v="Steven Cartwright"/>
    <x v="0"/>
    <s v="United States"/>
    <x v="2"/>
    <x v="2"/>
    <x v="1"/>
    <s v="FUR-FU-10001215"/>
    <x v="0"/>
    <x v="3"/>
    <s v="Howard Miller 11-1/2&quot; Diameter Brentwood Wall Clock"/>
    <n v="474.43"/>
    <n v="11"/>
    <n v="199.26060000000001"/>
    <x v="4"/>
    <x v="8"/>
  </r>
  <r>
    <s v="CA-2014-154963"/>
    <x v="525"/>
    <d v="2014-06-27T00:00:00"/>
    <x v="1"/>
    <s v="AA-10645"/>
    <s v="Anna Andreadi"/>
    <x v="0"/>
    <s v="United States"/>
    <x v="100"/>
    <x v="3"/>
    <x v="2"/>
    <s v="FUR-CH-10004698"/>
    <x v="0"/>
    <x v="1"/>
    <s v="Padded Folding Chairs, Black, 4/Carton"/>
    <n v="170.05799999999999"/>
    <n v="3"/>
    <n v="-4.8587999999999996"/>
    <x v="2"/>
    <x v="2"/>
  </r>
  <r>
    <s v="CA-2014-154963"/>
    <x v="525"/>
    <d v="2014-06-27T00:00:00"/>
    <x v="1"/>
    <s v="AA-10645"/>
    <s v="Anna Andreadi"/>
    <x v="0"/>
    <s v="United States"/>
    <x v="100"/>
    <x v="3"/>
    <x v="2"/>
    <s v="FUR-CH-10000454"/>
    <x v="0"/>
    <x v="1"/>
    <s v="Hon Deluxe Fabric Upholstered Stacking Chairs, Rounded Back"/>
    <n v="853.93"/>
    <n v="5"/>
    <n v="0"/>
    <x v="2"/>
    <x v="2"/>
  </r>
  <r>
    <s v="CA-2017-130764"/>
    <x v="526"/>
    <d v="2017-10-28T00:00:00"/>
    <x v="2"/>
    <s v="JO-15145"/>
    <s v="Jack O'Briant"/>
    <x v="1"/>
    <s v="United States"/>
    <x v="28"/>
    <x v="2"/>
    <x v="1"/>
    <s v="FUR-BO-10003034"/>
    <x v="0"/>
    <x v="0"/>
    <s v="O'Sullivan Elevations Bookcase, Cherry Finish"/>
    <n v="556.66499999999996"/>
    <n v="5"/>
    <n v="6.5490000000000004"/>
    <x v="5"/>
    <x v="1"/>
  </r>
  <r>
    <s v="CA-2017-124296"/>
    <x v="455"/>
    <d v="2017-12-28T00:00:00"/>
    <x v="1"/>
    <s v="CS-12355"/>
    <s v="Christine Sundaresam"/>
    <x v="0"/>
    <s v="United States"/>
    <x v="120"/>
    <x v="35"/>
    <x v="0"/>
    <s v="FUR-CH-10002439"/>
    <x v="0"/>
    <x v="1"/>
    <s v="Iceberg Nesting Folding Chair, 19w x 6d x 43h"/>
    <n v="232.88"/>
    <n v="4"/>
    <n v="60.5488"/>
    <x v="4"/>
    <x v="5"/>
  </r>
  <r>
    <s v="CA-2014-110786"/>
    <x v="527"/>
    <d v="2015-01-02T00:00:00"/>
    <x v="1"/>
    <s v="AJ-10795"/>
    <s v="Anthony Johnson"/>
    <x v="1"/>
    <s v="United States"/>
    <x v="28"/>
    <x v="2"/>
    <x v="1"/>
    <s v="FUR-FU-10000550"/>
    <x v="0"/>
    <x v="3"/>
    <s v="Stacking Trays by OIC"/>
    <n v="24.9"/>
    <n v="5"/>
    <n v="8.2170000000000005"/>
    <x v="4"/>
    <x v="5"/>
  </r>
  <r>
    <s v="CA-2014-110786"/>
    <x v="527"/>
    <d v="2015-01-02T00:00:00"/>
    <x v="1"/>
    <s v="AJ-10795"/>
    <s v="Anthony Johnson"/>
    <x v="1"/>
    <s v="United States"/>
    <x v="28"/>
    <x v="2"/>
    <x v="1"/>
    <s v="FUR-FU-10000672"/>
    <x v="0"/>
    <x v="3"/>
    <s v="Executive Impressions 10&quot; Spectator Wall Clock"/>
    <n v="70.56"/>
    <n v="6"/>
    <n v="23.990400000000001"/>
    <x v="4"/>
    <x v="5"/>
  </r>
  <r>
    <s v="CA-2015-137750"/>
    <x v="528"/>
    <d v="2015-06-30T00:00:00"/>
    <x v="1"/>
    <s v="JF-15565"/>
    <s v="Jill Fjeld"/>
    <x v="0"/>
    <s v="United States"/>
    <x v="28"/>
    <x v="2"/>
    <x v="1"/>
    <s v="FUR-FU-10001979"/>
    <x v="0"/>
    <x v="3"/>
    <s v="Dana Halogen Swing-Arm Architect Lamp"/>
    <n v="204.85"/>
    <n v="5"/>
    <n v="57.357999999999997"/>
    <x v="2"/>
    <x v="2"/>
  </r>
  <r>
    <s v="CA-2017-136350"/>
    <x v="529"/>
    <d v="2017-06-26T00:00:00"/>
    <x v="0"/>
    <s v="GA-14515"/>
    <s v="George Ashbrook"/>
    <x v="0"/>
    <s v="United States"/>
    <x v="13"/>
    <x v="7"/>
    <x v="2"/>
    <s v="FUR-FU-10003601"/>
    <x v="0"/>
    <x v="3"/>
    <s v="Deflect-o RollaMat Studded, Beveled Mat for Medium Pile Carpeting"/>
    <n v="276.69"/>
    <n v="3"/>
    <n v="49.804200000000002"/>
    <x v="3"/>
    <x v="2"/>
  </r>
  <r>
    <s v="CA-2017-136350"/>
    <x v="529"/>
    <d v="2017-06-26T00:00:00"/>
    <x v="0"/>
    <s v="GA-14515"/>
    <s v="George Ashbrook"/>
    <x v="0"/>
    <s v="United States"/>
    <x v="13"/>
    <x v="7"/>
    <x v="2"/>
    <s v="FUR-CH-10001891"/>
    <x v="0"/>
    <x v="1"/>
    <s v="Global Deluxe Office Fabric Chairs"/>
    <n v="172.76400000000001"/>
    <n v="2"/>
    <n v="32.633200000000002"/>
    <x v="3"/>
    <x v="2"/>
  </r>
  <r>
    <s v="CA-2014-122931"/>
    <x v="189"/>
    <d v="2014-10-03T00:00:00"/>
    <x v="1"/>
    <s v="SM-20950"/>
    <s v="Suzanne McNair"/>
    <x v="1"/>
    <s v="United States"/>
    <x v="3"/>
    <x v="3"/>
    <x v="2"/>
    <s v="FUR-TA-10004175"/>
    <x v="0"/>
    <x v="2"/>
    <s v="Hon 30&quot; x 60&quot; Table with Locking Drawer"/>
    <n v="409.27199999999999"/>
    <n v="2"/>
    <n v="-81.854399999999998"/>
    <x v="4"/>
    <x v="4"/>
  </r>
  <r>
    <s v="CA-2014-122931"/>
    <x v="189"/>
    <d v="2014-10-03T00:00:00"/>
    <x v="1"/>
    <s v="SM-20950"/>
    <s v="Suzanne McNair"/>
    <x v="1"/>
    <s v="United States"/>
    <x v="3"/>
    <x v="3"/>
    <x v="2"/>
    <s v="FUR-TA-10004147"/>
    <x v="0"/>
    <x v="2"/>
    <s v="Hon 4060 Series Tables"/>
    <n v="67.176000000000002"/>
    <n v="1"/>
    <n v="-20.152799999999999"/>
    <x v="4"/>
    <x v="4"/>
  </r>
  <r>
    <s v="CA-2015-124058"/>
    <x v="141"/>
    <d v="2015-11-24T00:00:00"/>
    <x v="1"/>
    <s v="LC-16885"/>
    <s v="Lena Creighton"/>
    <x v="0"/>
    <s v="United States"/>
    <x v="121"/>
    <x v="2"/>
    <x v="1"/>
    <s v="FUR-CH-10000595"/>
    <x v="0"/>
    <x v="1"/>
    <s v="Safco Contoured Stacking Chairs"/>
    <n v="572.16"/>
    <n v="3"/>
    <n v="35.76"/>
    <x v="4"/>
    <x v="0"/>
  </r>
  <r>
    <s v="CA-2016-145303"/>
    <x v="530"/>
    <d v="2016-08-31T00:00:00"/>
    <x v="2"/>
    <s v="TP-21415"/>
    <s v="Tom Prescott"/>
    <x v="0"/>
    <s v="United States"/>
    <x v="144"/>
    <x v="5"/>
    <x v="3"/>
    <s v="FUR-BO-10003159"/>
    <x v="0"/>
    <x v="0"/>
    <s v="Sauder Camden County Collection Libraries, Planked Cherry Finish"/>
    <n v="156.37280000000001"/>
    <n v="2"/>
    <n v="-52.890799999999999"/>
    <x v="0"/>
    <x v="10"/>
  </r>
  <r>
    <s v="CA-2017-108112"/>
    <x v="531"/>
    <d v="2017-11-20T00:00:00"/>
    <x v="1"/>
    <s v="DK-12895"/>
    <s v="Dana Kaydos"/>
    <x v="0"/>
    <s v="United States"/>
    <x v="232"/>
    <x v="1"/>
    <x v="0"/>
    <s v="FUR-FU-10003553"/>
    <x v="0"/>
    <x v="3"/>
    <s v="Howard Miller 13-1/2&quot; Diameter Rosebrook Wall Clock"/>
    <n v="220.06399999999999"/>
    <n v="4"/>
    <n v="55.015999999999998"/>
    <x v="2"/>
    <x v="0"/>
  </r>
  <r>
    <s v="CA-2017-108112"/>
    <x v="531"/>
    <d v="2017-11-20T00:00:00"/>
    <x v="1"/>
    <s v="DK-12895"/>
    <s v="Dana Kaydos"/>
    <x v="0"/>
    <s v="United States"/>
    <x v="232"/>
    <x v="1"/>
    <x v="0"/>
    <s v="FUR-FU-10001488"/>
    <x v="0"/>
    <x v="3"/>
    <s v="Tenex 46&quot; x 60&quot; Computer Anti-Static Chairmat, Rectangular Shaped"/>
    <n v="339.13600000000002"/>
    <n v="4"/>
    <n v="0"/>
    <x v="2"/>
    <x v="0"/>
  </r>
  <r>
    <s v="US-2014-156559"/>
    <x v="532"/>
    <d v="2014-08-26T00:00:00"/>
    <x v="1"/>
    <s v="LH-16900"/>
    <s v="Lena Hernandez"/>
    <x v="0"/>
    <s v="United States"/>
    <x v="93"/>
    <x v="31"/>
    <x v="0"/>
    <s v="FUR-BO-10000711"/>
    <x v="0"/>
    <x v="0"/>
    <s v="Hon Metal Bookcases, Gray"/>
    <n v="638.82000000000005"/>
    <n v="9"/>
    <n v="172.48140000000001"/>
    <x v="1"/>
    <x v="10"/>
  </r>
  <r>
    <s v="CA-2017-137456"/>
    <x v="533"/>
    <d v="2017-12-21T00:00:00"/>
    <x v="3"/>
    <s v="RB-19465"/>
    <s v="Rick Bensley"/>
    <x v="2"/>
    <s v="United States"/>
    <x v="233"/>
    <x v="27"/>
    <x v="3"/>
    <s v="FUR-FU-10001940"/>
    <x v="0"/>
    <x v="3"/>
    <s v="Staple-based wall hangings"/>
    <n v="15.92"/>
    <n v="2"/>
    <n v="7.0048000000000004"/>
    <x v="7"/>
    <x v="5"/>
  </r>
  <r>
    <s v="CA-2015-105599"/>
    <x v="395"/>
    <d v="2015-09-07T00:00:00"/>
    <x v="3"/>
    <s v="MC-17275"/>
    <s v="Marc Crier"/>
    <x v="0"/>
    <s v="United States"/>
    <x v="13"/>
    <x v="7"/>
    <x v="2"/>
    <s v="FUR-TA-10003837"/>
    <x v="0"/>
    <x v="2"/>
    <s v="Anderson Hickey Conga Table Tops &amp; Accessories"/>
    <n v="27.414000000000001"/>
    <n v="3"/>
    <n v="-14.1639"/>
    <x v="7"/>
    <x v="4"/>
  </r>
  <r>
    <s v="CA-2015-153717"/>
    <x v="344"/>
    <d v="2016-01-01T00:00:00"/>
    <x v="1"/>
    <s v="DL-13495"/>
    <s v="Dionis Lloyd"/>
    <x v="1"/>
    <s v="United States"/>
    <x v="25"/>
    <x v="17"/>
    <x v="3"/>
    <s v="FUR-BO-10004360"/>
    <x v="0"/>
    <x v="0"/>
    <s v="Rush Hierlooms Collection Rich Wood Bookcases"/>
    <n v="160.97999999999999"/>
    <n v="1"/>
    <n v="20.927399999999999"/>
    <x v="1"/>
    <x v="5"/>
  </r>
  <r>
    <s v="CA-2017-123239"/>
    <x v="534"/>
    <d v="2017-07-31T00:00:00"/>
    <x v="0"/>
    <s v="MG-18145"/>
    <s v="Mike Gockenbach"/>
    <x v="0"/>
    <s v="United States"/>
    <x v="51"/>
    <x v="1"/>
    <x v="0"/>
    <s v="FUR-FU-10001602"/>
    <x v="0"/>
    <x v="3"/>
    <s v="Eldon Delta Triangular Chair Mat, 52&quot; x 58&quot;, Clear"/>
    <n v="91.031999999999996"/>
    <n v="3"/>
    <n v="-2.2757999999999998"/>
    <x v="4"/>
    <x v="3"/>
  </r>
  <r>
    <s v="CA-2017-127313"/>
    <x v="451"/>
    <d v="2017-12-04T00:00:00"/>
    <x v="2"/>
    <s v="RA-19285"/>
    <s v="Ralph Arnett"/>
    <x v="0"/>
    <s v="United States"/>
    <x v="3"/>
    <x v="3"/>
    <x v="2"/>
    <s v="FUR-FU-10003798"/>
    <x v="0"/>
    <x v="3"/>
    <s v="Ultra Door Kickplate, 8&quot;H x 34&quot;W"/>
    <n v="79.12"/>
    <n v="5"/>
    <n v="13.846"/>
    <x v="0"/>
    <x v="5"/>
  </r>
  <r>
    <s v="CA-2017-112725"/>
    <x v="129"/>
    <d v="2017-02-06T00:00:00"/>
    <x v="1"/>
    <s v="EH-14125"/>
    <s v="Eugene Hildebrand"/>
    <x v="2"/>
    <s v="United States"/>
    <x v="28"/>
    <x v="2"/>
    <x v="1"/>
    <s v="FUR-CH-10000863"/>
    <x v="0"/>
    <x v="1"/>
    <s v="Novimex Swivel Fabric Task Chair"/>
    <n v="120.78400000000001"/>
    <n v="1"/>
    <n v="-13.588200000000001"/>
    <x v="1"/>
    <x v="8"/>
  </r>
  <r>
    <s v="CA-2015-136196"/>
    <x v="44"/>
    <d v="2015-12-04T00:00:00"/>
    <x v="1"/>
    <s v="TP-21415"/>
    <s v="Tom Prescott"/>
    <x v="0"/>
    <s v="United States"/>
    <x v="234"/>
    <x v="7"/>
    <x v="2"/>
    <s v="FUR-FU-10004017"/>
    <x v="0"/>
    <x v="3"/>
    <s v="Tenex Contemporary Contur Chairmats for Low and Medium Pile Carpet, Computer, 39&quot; x 49&quot;"/>
    <n v="322.58999999999997"/>
    <n v="3"/>
    <n v="64.518000000000001"/>
    <x v="6"/>
    <x v="0"/>
  </r>
  <r>
    <s v="CA-2014-157924"/>
    <x v="524"/>
    <d v="2014-10-13T00:00:00"/>
    <x v="2"/>
    <s v="HA-14920"/>
    <s v="Helen Andreada"/>
    <x v="0"/>
    <s v="United States"/>
    <x v="102"/>
    <x v="2"/>
    <x v="1"/>
    <s v="FUR-CH-10000229"/>
    <x v="0"/>
    <x v="1"/>
    <s v="Global Enterprise Series Seating High-Back Swivel/Tilt Chairs"/>
    <n v="433.56799999999998"/>
    <n v="2"/>
    <n v="-65.035200000000003"/>
    <x v="3"/>
    <x v="1"/>
  </r>
  <r>
    <s v="CA-2016-143749"/>
    <x v="28"/>
    <d v="2016-12-07T00:00:00"/>
    <x v="2"/>
    <s v="AG-10300"/>
    <s v="Aleksandra Gannaway"/>
    <x v="1"/>
    <s v="United States"/>
    <x v="20"/>
    <x v="20"/>
    <x v="2"/>
    <s v="FUR-BO-10002853"/>
    <x v="0"/>
    <x v="0"/>
    <s v="O'Sullivan 5-Shelf Heavy-Duty Bookcases"/>
    <n v="81.94"/>
    <n v="1"/>
    <n v="20.484999999999999"/>
    <x v="3"/>
    <x v="5"/>
  </r>
  <r>
    <s v="CA-2015-150875"/>
    <x v="397"/>
    <d v="2015-11-20T00:00:00"/>
    <x v="1"/>
    <s v="HK-14890"/>
    <s v="Heather Kirkland"/>
    <x v="1"/>
    <s v="United States"/>
    <x v="235"/>
    <x v="42"/>
    <x v="1"/>
    <s v="FUR-TA-10000577"/>
    <x v="0"/>
    <x v="2"/>
    <s v="Bretford CR4500 Series Slim Rectangular Table"/>
    <n v="696.42"/>
    <n v="2"/>
    <n v="160.17660000000001"/>
    <x v="4"/>
    <x v="0"/>
  </r>
  <r>
    <s v="CA-2016-124233"/>
    <x v="57"/>
    <d v="2016-04-14T00:00:00"/>
    <x v="1"/>
    <s v="CK-12595"/>
    <s v="Clytie Kelty"/>
    <x v="0"/>
    <s v="United States"/>
    <x v="2"/>
    <x v="2"/>
    <x v="1"/>
    <s v="FUR-FU-10002597"/>
    <x v="0"/>
    <x v="3"/>
    <s v="C-Line Magnetic Cubicle Keepers, Clear Polypropylene"/>
    <n v="24.7"/>
    <n v="5"/>
    <n v="10.374000000000001"/>
    <x v="6"/>
    <x v="6"/>
  </r>
  <r>
    <s v="CA-2014-145387"/>
    <x v="314"/>
    <d v="2014-11-02T00:00:00"/>
    <x v="0"/>
    <s v="AM-10705"/>
    <s v="Anne McFarland"/>
    <x v="0"/>
    <s v="United States"/>
    <x v="236"/>
    <x v="38"/>
    <x v="2"/>
    <s v="FUR-FU-10002364"/>
    <x v="0"/>
    <x v="3"/>
    <s v="Eldon Expressions Wood Desk Accessories, Oak"/>
    <n v="14.76"/>
    <n v="2"/>
    <n v="4.2804000000000002"/>
    <x v="3"/>
    <x v="1"/>
  </r>
  <r>
    <s v="CA-2014-145387"/>
    <x v="314"/>
    <d v="2014-11-02T00:00:00"/>
    <x v="0"/>
    <s v="AM-10705"/>
    <s v="Anne McFarland"/>
    <x v="0"/>
    <s v="United States"/>
    <x v="236"/>
    <x v="38"/>
    <x v="2"/>
    <s v="FUR-FU-10000023"/>
    <x v="0"/>
    <x v="3"/>
    <s v="Eldon Wave Desk Accessories"/>
    <n v="17.670000000000002"/>
    <n v="3"/>
    <n v="7.7747999999999999"/>
    <x v="3"/>
    <x v="1"/>
  </r>
  <r>
    <s v="CA-2014-145387"/>
    <x v="314"/>
    <d v="2014-11-02T00:00:00"/>
    <x v="0"/>
    <s v="AM-10705"/>
    <s v="Anne McFarland"/>
    <x v="0"/>
    <s v="United States"/>
    <x v="236"/>
    <x v="38"/>
    <x v="2"/>
    <s v="FUR-CH-10002320"/>
    <x v="0"/>
    <x v="1"/>
    <s v="Hon Pagoda Stacking Chairs"/>
    <n v="1604.9"/>
    <n v="5"/>
    <n v="481.47"/>
    <x v="3"/>
    <x v="1"/>
  </r>
  <r>
    <s v="CA-2014-145387"/>
    <x v="314"/>
    <d v="2014-11-02T00:00:00"/>
    <x v="0"/>
    <s v="AM-10705"/>
    <s v="Anne McFarland"/>
    <x v="0"/>
    <s v="United States"/>
    <x v="236"/>
    <x v="38"/>
    <x v="2"/>
    <s v="FUR-TA-10003238"/>
    <x v="0"/>
    <x v="2"/>
    <s v="Chromcraft Bull-Nose Wood 48&quot; x 96&quot; Rectangular Conference Tables"/>
    <n v="385.68599999999998"/>
    <n v="1"/>
    <n v="-60.607799999999997"/>
    <x v="3"/>
    <x v="1"/>
  </r>
  <r>
    <s v="CA-2017-149881"/>
    <x v="535"/>
    <d v="2017-04-03T00:00:00"/>
    <x v="2"/>
    <s v="NC-18535"/>
    <s v="Nick Crebassa"/>
    <x v="1"/>
    <s v="United States"/>
    <x v="28"/>
    <x v="2"/>
    <x v="1"/>
    <s v="FUR-BO-10003894"/>
    <x v="0"/>
    <x v="0"/>
    <s v="Safco Value Mate Steel Bookcase, Baked Enamel Finish on Steel, Black"/>
    <n v="482.66399999999999"/>
    <n v="8"/>
    <n v="85.176000000000002"/>
    <x v="3"/>
    <x v="6"/>
  </r>
  <r>
    <s v="CA-2017-134565"/>
    <x v="343"/>
    <d v="2017-06-13T00:00:00"/>
    <x v="0"/>
    <s v="TB-21400"/>
    <s v="Tom Boeckenhauer"/>
    <x v="0"/>
    <s v="United States"/>
    <x v="15"/>
    <x v="13"/>
    <x v="1"/>
    <s v="FUR-BO-10001519"/>
    <x v="0"/>
    <x v="0"/>
    <s v="O'Sullivan 3-Shelf Heavy-Duty Bookcases"/>
    <n v="174.42"/>
    <n v="3"/>
    <n v="41.860799999999998"/>
    <x v="3"/>
    <x v="2"/>
  </r>
  <r>
    <s v="US-2014-102631"/>
    <x v="536"/>
    <d v="2014-12-17T00:00:00"/>
    <x v="1"/>
    <s v="EB-13840"/>
    <s v="Ellis Ballard"/>
    <x v="1"/>
    <s v="United States"/>
    <x v="9"/>
    <x v="8"/>
    <x v="3"/>
    <s v="FUR-FU-10003930"/>
    <x v="0"/>
    <x v="3"/>
    <s v="Howard Miller 12-3/4 Diameter Accuwave DS  Wall Clock"/>
    <n v="94.427999999999997"/>
    <n v="3"/>
    <n v="-42.492600000000003"/>
    <x v="4"/>
    <x v="5"/>
  </r>
  <r>
    <s v="CA-2015-154970"/>
    <x v="537"/>
    <d v="2015-01-10T00:00:00"/>
    <x v="1"/>
    <s v="SR-20740"/>
    <s v="Steven Roelle"/>
    <x v="2"/>
    <s v="United States"/>
    <x v="15"/>
    <x v="13"/>
    <x v="1"/>
    <s v="FUR-CH-10003396"/>
    <x v="0"/>
    <x v="1"/>
    <s v="Global Deluxe Steno Chair"/>
    <n v="61.584000000000003"/>
    <n v="1"/>
    <n v="-6.9282000000000004"/>
    <x v="2"/>
    <x v="8"/>
  </r>
  <r>
    <s v="CA-2017-100223"/>
    <x v="538"/>
    <d v="2017-07-10T00:00:00"/>
    <x v="1"/>
    <s v="LS-16945"/>
    <s v="Linda Southworth"/>
    <x v="1"/>
    <s v="United States"/>
    <x v="144"/>
    <x v="5"/>
    <x v="3"/>
    <s v="FUR-FU-10003601"/>
    <x v="0"/>
    <x v="3"/>
    <s v="Deflect-o RollaMat Studded, Beveled Mat for Medium Pile Carpeting"/>
    <n v="332.02800000000002"/>
    <n v="9"/>
    <n v="-348.62939999999998"/>
    <x v="2"/>
    <x v="3"/>
  </r>
  <r>
    <s v="CA-2017-117702"/>
    <x v="156"/>
    <d v="2017-12-04T00:00:00"/>
    <x v="1"/>
    <s v="LS-16975"/>
    <s v="Lindsay Shagiari"/>
    <x v="2"/>
    <s v="United States"/>
    <x v="237"/>
    <x v="32"/>
    <x v="2"/>
    <s v="FUR-FU-10000576"/>
    <x v="0"/>
    <x v="3"/>
    <s v="Luxo Professional Fluorescent Magnifier Lamp with Clamp-Mount Base"/>
    <n v="1049.2"/>
    <n v="5"/>
    <n v="272.79199999999997"/>
    <x v="6"/>
    <x v="0"/>
  </r>
  <r>
    <s v="CA-2017-117702"/>
    <x v="156"/>
    <d v="2017-12-04T00:00:00"/>
    <x v="1"/>
    <s v="LS-16975"/>
    <s v="Lindsay Shagiari"/>
    <x v="2"/>
    <s v="United States"/>
    <x v="237"/>
    <x v="32"/>
    <x v="2"/>
    <s v="FUR-FU-10004270"/>
    <x v="0"/>
    <x v="3"/>
    <s v="Eldon Image Series Desk Accessories, Burgundy"/>
    <n v="20.9"/>
    <n v="5"/>
    <n v="7.524"/>
    <x v="6"/>
    <x v="0"/>
  </r>
  <r>
    <s v="CA-2016-157336"/>
    <x v="193"/>
    <d v="2016-12-05T00:00:00"/>
    <x v="0"/>
    <s v="SJ-20500"/>
    <s v="Shirley Jackson"/>
    <x v="0"/>
    <s v="United States"/>
    <x v="130"/>
    <x v="19"/>
    <x v="2"/>
    <s v="FUR-CH-10004997"/>
    <x v="0"/>
    <x v="1"/>
    <s v="Hon Every-Day Series Multi-Task Chairs"/>
    <n v="751.92"/>
    <n v="4"/>
    <n v="150.38399999999999"/>
    <x v="4"/>
    <x v="5"/>
  </r>
  <r>
    <s v="CA-2014-168130"/>
    <x v="539"/>
    <d v="2014-09-19T00:00:00"/>
    <x v="3"/>
    <s v="BS-11365"/>
    <s v="Bill Shonely"/>
    <x v="1"/>
    <s v="United States"/>
    <x v="13"/>
    <x v="7"/>
    <x v="2"/>
    <s v="FUR-CH-10000988"/>
    <x v="0"/>
    <x v="1"/>
    <s v="Hon Olson Stacker Stools"/>
    <n v="887.10299999999995"/>
    <n v="7"/>
    <n v="177.42060000000001"/>
    <x v="7"/>
    <x v="4"/>
  </r>
  <r>
    <s v="CA-2017-163160"/>
    <x v="540"/>
    <d v="2017-10-16T00:00:00"/>
    <x v="2"/>
    <s v="TS-21610"/>
    <s v="Troy Staebel"/>
    <x v="0"/>
    <s v="United States"/>
    <x v="234"/>
    <x v="8"/>
    <x v="3"/>
    <s v="FUR-FU-10001424"/>
    <x v="0"/>
    <x v="3"/>
    <s v="Dax Clear Box Frame"/>
    <n v="10.476000000000001"/>
    <n v="3"/>
    <n v="-6.8094000000000001"/>
    <x v="0"/>
    <x v="1"/>
  </r>
  <r>
    <s v="CA-2016-124793"/>
    <x v="269"/>
    <d v="2016-03-16T00:00:00"/>
    <x v="2"/>
    <s v="MM-18280"/>
    <s v="Muhammed MacIntyre"/>
    <x v="1"/>
    <s v="United States"/>
    <x v="15"/>
    <x v="13"/>
    <x v="1"/>
    <s v="FUR-CH-10002880"/>
    <x v="0"/>
    <x v="1"/>
    <s v="Global High-Back Leather Tilter, Burgundy"/>
    <n v="196.78399999999999"/>
    <n v="2"/>
    <n v="-22.138200000000001"/>
    <x v="3"/>
    <x v="9"/>
  </r>
  <r>
    <s v="US-2016-131611"/>
    <x v="541"/>
    <d v="2016-11-09T00:00:00"/>
    <x v="1"/>
    <s v="EP-13915"/>
    <s v="Emily Phan"/>
    <x v="0"/>
    <s v="United States"/>
    <x v="6"/>
    <x v="5"/>
    <x v="3"/>
    <s v="FUR-TA-10002774"/>
    <x v="0"/>
    <x v="2"/>
    <s v="Laminate Occasional Tables"/>
    <n v="863.12800000000004"/>
    <n v="8"/>
    <n v="-160.29519999999999"/>
    <x v="4"/>
    <x v="0"/>
  </r>
  <r>
    <s v="US-2016-131611"/>
    <x v="541"/>
    <d v="2016-11-09T00:00:00"/>
    <x v="1"/>
    <s v="EP-13915"/>
    <s v="Emily Phan"/>
    <x v="0"/>
    <s v="United States"/>
    <x v="6"/>
    <x v="5"/>
    <x v="3"/>
    <s v="FUR-BO-10000780"/>
    <x v="0"/>
    <x v="0"/>
    <s v="O'Sullivan Plantations 2-Door Library in Landvery Oak"/>
    <n v="956.66480000000001"/>
    <n v="7"/>
    <n v="-225.0976"/>
    <x v="4"/>
    <x v="0"/>
  </r>
  <r>
    <s v="US-2017-124821"/>
    <x v="542"/>
    <d v="2017-06-29T00:00:00"/>
    <x v="0"/>
    <s v="AM-10705"/>
    <s v="Anne McFarland"/>
    <x v="0"/>
    <s v="United States"/>
    <x v="15"/>
    <x v="13"/>
    <x v="1"/>
    <s v="FUR-TA-10000688"/>
    <x v="0"/>
    <x v="2"/>
    <s v="Chromcraft Bull-Nose Wood Round Conference Table Top, Wood Base"/>
    <n v="871.4"/>
    <n v="4"/>
    <n v="148.13800000000001"/>
    <x v="4"/>
    <x v="2"/>
  </r>
  <r>
    <s v="CA-2015-166975"/>
    <x v="543"/>
    <d v="2015-11-30T00:00:00"/>
    <x v="1"/>
    <s v="SH-20635"/>
    <s v="Stefanie Holloman"/>
    <x v="1"/>
    <s v="United States"/>
    <x v="38"/>
    <x v="9"/>
    <x v="0"/>
    <s v="FUR-FU-10003930"/>
    <x v="0"/>
    <x v="3"/>
    <s v="Howard Miller 12-3/4 Diameter Accuwave DS  Wall Clock"/>
    <n v="692.47199999999998"/>
    <n v="11"/>
    <n v="190.4298"/>
    <x v="4"/>
    <x v="0"/>
  </r>
  <r>
    <s v="CA-2016-123806"/>
    <x v="243"/>
    <d v="2016-11-27T00:00:00"/>
    <x v="0"/>
    <s v="LA-16780"/>
    <s v="Laura Armstrong"/>
    <x v="1"/>
    <s v="United States"/>
    <x v="237"/>
    <x v="32"/>
    <x v="2"/>
    <s v="FUR-FU-10000965"/>
    <x v="0"/>
    <x v="3"/>
    <s v="Howard Miller 11-1/2&quot; Diameter Ridgewood Wall Clock"/>
    <n v="207.76"/>
    <n v="4"/>
    <n v="85.181600000000003"/>
    <x v="0"/>
    <x v="0"/>
  </r>
  <r>
    <s v="US-2016-107440"/>
    <x v="544"/>
    <d v="2016-04-20T00:00:00"/>
    <x v="1"/>
    <s v="BS-11365"/>
    <s v="Bill Shonely"/>
    <x v="1"/>
    <s v="United States"/>
    <x v="174"/>
    <x v="18"/>
    <x v="2"/>
    <s v="FUR-FU-10000550"/>
    <x v="0"/>
    <x v="3"/>
    <s v="Stacking Trays by OIC"/>
    <n v="9.9600000000000009"/>
    <n v="2"/>
    <n v="3.2867999999999999"/>
    <x v="4"/>
    <x v="6"/>
  </r>
  <r>
    <s v="CA-2014-166989"/>
    <x v="545"/>
    <d v="2014-11-18T00:00:00"/>
    <x v="1"/>
    <s v="RM-19675"/>
    <s v="Robert Marley"/>
    <x v="2"/>
    <s v="United States"/>
    <x v="13"/>
    <x v="7"/>
    <x v="2"/>
    <s v="FUR-CH-10001797"/>
    <x v="0"/>
    <x v="1"/>
    <s v="Safco Chair Connectors, 6/Carton"/>
    <n v="69.263999999999996"/>
    <n v="2"/>
    <n v="14.622400000000001"/>
    <x v="4"/>
    <x v="0"/>
  </r>
  <r>
    <s v="CA-2015-105690"/>
    <x v="32"/>
    <d v="2015-11-26T00:00:00"/>
    <x v="0"/>
    <s v="CA-11965"/>
    <s v="Carol Adams"/>
    <x v="1"/>
    <s v="United States"/>
    <x v="238"/>
    <x v="5"/>
    <x v="3"/>
    <s v="FUR-BO-10003965"/>
    <x v="0"/>
    <x v="0"/>
    <s v="O'Sullivan Manor Hill 2-Door Library in Brianna Oak"/>
    <n v="246.1328"/>
    <n v="2"/>
    <n v="-76.011600000000001"/>
    <x v="2"/>
    <x v="0"/>
  </r>
  <r>
    <s v="CA-2017-102407"/>
    <x v="13"/>
    <d v="2017-12-13T00:00:00"/>
    <x v="0"/>
    <s v="AT-10435"/>
    <s v="Alyssa Tate"/>
    <x v="2"/>
    <s v="United States"/>
    <x v="2"/>
    <x v="2"/>
    <x v="1"/>
    <s v="FUR-TA-10003748"/>
    <x v="0"/>
    <x v="2"/>
    <s v="Bevis 36 x 72 Conference Tables"/>
    <n v="896.32799999999997"/>
    <n v="9"/>
    <n v="22.408200000000001"/>
    <x v="4"/>
    <x v="5"/>
  </r>
  <r>
    <s v="CA-2017-101581"/>
    <x v="546"/>
    <d v="2017-10-27T00:00:00"/>
    <x v="1"/>
    <s v="DW-13195"/>
    <s v="David Wiener"/>
    <x v="1"/>
    <s v="United States"/>
    <x v="125"/>
    <x v="36"/>
    <x v="1"/>
    <s v="FUR-TA-10002607"/>
    <x v="0"/>
    <x v="2"/>
    <s v="KI Conference Tables"/>
    <n v="177.22499999999999"/>
    <n v="5"/>
    <n v="-120.51300000000001"/>
    <x v="2"/>
    <x v="1"/>
  </r>
  <r>
    <s v="CA-2017-169124"/>
    <x v="209"/>
    <d v="2017-07-10T00:00:00"/>
    <x v="1"/>
    <s v="MB-17305"/>
    <s v="Maria Bertelson"/>
    <x v="0"/>
    <s v="United States"/>
    <x v="239"/>
    <x v="2"/>
    <x v="1"/>
    <s v="FUR-FU-10001215"/>
    <x v="0"/>
    <x v="3"/>
    <s v="Howard Miller 11-1/2&quot; Diameter Brentwood Wall Clock"/>
    <n v="129.38999999999999"/>
    <n v="3"/>
    <n v="54.343800000000002"/>
    <x v="1"/>
    <x v="3"/>
  </r>
  <r>
    <s v="CA-2017-129021"/>
    <x v="547"/>
    <d v="2017-08-26T00:00:00"/>
    <x v="0"/>
    <s v="PO-18850"/>
    <s v="Patrick O'Brill"/>
    <x v="0"/>
    <s v="United States"/>
    <x v="199"/>
    <x v="1"/>
    <x v="0"/>
    <s v="FUR-FU-10001852"/>
    <x v="0"/>
    <x v="3"/>
    <s v="Eldon Regeneration Recycled Desk Accessories, Smoke"/>
    <n v="2.7839999999999998"/>
    <n v="2"/>
    <n v="0.41760000000000003"/>
    <x v="0"/>
    <x v="10"/>
  </r>
  <r>
    <s v="CA-2014-162278"/>
    <x v="548"/>
    <d v="2014-10-30T00:00:00"/>
    <x v="0"/>
    <s v="AH-10585"/>
    <s v="Angele Hood"/>
    <x v="0"/>
    <s v="United States"/>
    <x v="15"/>
    <x v="13"/>
    <x v="1"/>
    <s v="FUR-FU-10000448"/>
    <x v="0"/>
    <x v="3"/>
    <s v="Tenex Chairmats For Use With Carpeted Floors"/>
    <n v="63.92"/>
    <n v="4"/>
    <n v="3.1960000000000002"/>
    <x v="4"/>
    <x v="1"/>
  </r>
  <r>
    <s v="CA-2014-125829"/>
    <x v="53"/>
    <d v="2014-11-11T00:00:00"/>
    <x v="1"/>
    <s v="WB-21850"/>
    <s v="William Brown"/>
    <x v="0"/>
    <s v="United States"/>
    <x v="2"/>
    <x v="2"/>
    <x v="1"/>
    <s v="FUR-TA-10002041"/>
    <x v="0"/>
    <x v="2"/>
    <s v="Bevis Round Conference Table Top, X-Base"/>
    <n v="573.72799999999995"/>
    <n v="4"/>
    <n v="-64.544399999999996"/>
    <x v="1"/>
    <x v="0"/>
  </r>
  <r>
    <s v="US-2017-136189"/>
    <x v="549"/>
    <d v="2017-12-11T00:00:00"/>
    <x v="1"/>
    <s v="DC-13285"/>
    <s v="Debra Catini"/>
    <x v="0"/>
    <s v="United States"/>
    <x v="52"/>
    <x v="25"/>
    <x v="0"/>
    <s v="FUR-FU-10000175"/>
    <x v="0"/>
    <x v="3"/>
    <s v="DAX Wood Document Frame."/>
    <n v="82.38"/>
    <n v="6"/>
    <n v="25.537800000000001"/>
    <x v="4"/>
    <x v="5"/>
  </r>
  <r>
    <s v="CA-2015-154795"/>
    <x v="274"/>
    <d v="2015-12-24T00:00:00"/>
    <x v="1"/>
    <s v="GZ-14470"/>
    <s v="Gary Zandusky"/>
    <x v="0"/>
    <s v="United States"/>
    <x v="240"/>
    <x v="22"/>
    <x v="1"/>
    <s v="FUR-FU-10002088"/>
    <x v="0"/>
    <x v="3"/>
    <s v="Nu-Dell Float Frame 11 x 14 1/2"/>
    <n v="14.368"/>
    <n v="2"/>
    <n v="3.9512"/>
    <x v="4"/>
    <x v="5"/>
  </r>
  <r>
    <s v="CA-2016-120355"/>
    <x v="126"/>
    <d v="2016-09-25T00:00:00"/>
    <x v="1"/>
    <s v="MM-17260"/>
    <s v="Magdelene Morse"/>
    <x v="0"/>
    <s v="United States"/>
    <x v="241"/>
    <x v="7"/>
    <x v="2"/>
    <s v="FUR-CH-10001394"/>
    <x v="0"/>
    <x v="1"/>
    <s v="Global Leather Executive Chair"/>
    <n v="631.78200000000004"/>
    <n v="2"/>
    <n v="140.39599999999999"/>
    <x v="1"/>
    <x v="4"/>
  </r>
  <r>
    <s v="CA-2016-120355"/>
    <x v="126"/>
    <d v="2016-09-25T00:00:00"/>
    <x v="1"/>
    <s v="MM-17260"/>
    <s v="Magdelene Morse"/>
    <x v="0"/>
    <s v="United States"/>
    <x v="241"/>
    <x v="7"/>
    <x v="2"/>
    <s v="FUR-FU-10004053"/>
    <x v="0"/>
    <x v="3"/>
    <s v="DAX Two-Tone Silver Metal Document Frame"/>
    <n v="60.72"/>
    <n v="3"/>
    <n v="26.1096"/>
    <x v="1"/>
    <x v="4"/>
  </r>
  <r>
    <s v="CA-2017-162565"/>
    <x v="246"/>
    <d v="2017-12-11T00:00:00"/>
    <x v="3"/>
    <s v="RR-19315"/>
    <s v="Ralph Ritter"/>
    <x v="0"/>
    <s v="United States"/>
    <x v="14"/>
    <x v="8"/>
    <x v="3"/>
    <s v="FUR-FU-10004306"/>
    <x v="0"/>
    <x v="3"/>
    <s v="Electrix Halogen Magnifier Lamp"/>
    <n v="77.72"/>
    <n v="1"/>
    <n v="-66.061999999999998"/>
    <x v="7"/>
    <x v="5"/>
  </r>
  <r>
    <s v="CA-2017-162565"/>
    <x v="246"/>
    <d v="2017-12-11T00:00:00"/>
    <x v="3"/>
    <s v="RR-19315"/>
    <s v="Ralph Ritter"/>
    <x v="0"/>
    <s v="United States"/>
    <x v="14"/>
    <x v="8"/>
    <x v="3"/>
    <s v="FUR-CH-10003973"/>
    <x v="0"/>
    <x v="1"/>
    <s v="GuestStacker Chair with Chrome Finish Legs"/>
    <n v="520.46400000000006"/>
    <n v="2"/>
    <n v="-14.8704"/>
    <x v="7"/>
    <x v="5"/>
  </r>
  <r>
    <s v="CA-2014-166954"/>
    <x v="550"/>
    <d v="2014-04-30T00:00:00"/>
    <x v="1"/>
    <s v="BT-11305"/>
    <s v="Beth Thompson"/>
    <x v="2"/>
    <s v="United States"/>
    <x v="242"/>
    <x v="2"/>
    <x v="1"/>
    <s v="FUR-FU-10003708"/>
    <x v="0"/>
    <x v="3"/>
    <s v="Tenex Traditional Chairmats for Medium Pile Carpet, Standard Lip, 36&quot; x 48&quot;"/>
    <n v="303.25"/>
    <n v="5"/>
    <n v="63.682499999999997"/>
    <x v="2"/>
    <x v="6"/>
  </r>
  <r>
    <s v="CA-2014-166954"/>
    <x v="550"/>
    <d v="2014-04-30T00:00:00"/>
    <x v="1"/>
    <s v="BT-11305"/>
    <s v="Beth Thompson"/>
    <x v="2"/>
    <s v="United States"/>
    <x v="242"/>
    <x v="2"/>
    <x v="1"/>
    <s v="FUR-CH-10003973"/>
    <x v="0"/>
    <x v="1"/>
    <s v="GuestStacker Chair with Chrome Finish Legs"/>
    <n v="1487.04"/>
    <n v="5"/>
    <n v="148.70400000000001"/>
    <x v="2"/>
    <x v="6"/>
  </r>
  <r>
    <s v="CA-2015-152891"/>
    <x v="551"/>
    <d v="2015-10-30T00:00:00"/>
    <x v="1"/>
    <s v="TB-21625"/>
    <s v="Trudy Brown"/>
    <x v="0"/>
    <s v="United States"/>
    <x v="28"/>
    <x v="2"/>
    <x v="1"/>
    <s v="FUR-TA-10001857"/>
    <x v="0"/>
    <x v="2"/>
    <s v="Balt Solid Wood Rectangular Table"/>
    <n v="253.17599999999999"/>
    <n v="3"/>
    <n v="-31.646999999999998"/>
    <x v="2"/>
    <x v="1"/>
  </r>
  <r>
    <s v="US-2015-122784"/>
    <x v="552"/>
    <d v="2015-07-27T00:00:00"/>
    <x v="1"/>
    <s v="RA-19915"/>
    <s v="Russell Applegate"/>
    <x v="0"/>
    <s v="United States"/>
    <x v="185"/>
    <x v="8"/>
    <x v="3"/>
    <s v="FUR-BO-10004690"/>
    <x v="0"/>
    <x v="0"/>
    <s v="O'Sullivan Cherrywood Estates Traditional Barrister Bookcase"/>
    <n v="384.94400000000002"/>
    <n v="4"/>
    <n v="-126.4816"/>
    <x v="1"/>
    <x v="3"/>
  </r>
  <r>
    <s v="US-2015-122784"/>
    <x v="552"/>
    <d v="2015-07-27T00:00:00"/>
    <x v="1"/>
    <s v="RA-19915"/>
    <s v="Russell Applegate"/>
    <x v="0"/>
    <s v="United States"/>
    <x v="185"/>
    <x v="8"/>
    <x v="3"/>
    <s v="FUR-BO-10002545"/>
    <x v="0"/>
    <x v="0"/>
    <s v="Atlantic Metals Mobile 3-Shelf Bookcases, Custom Colors"/>
    <n v="913.43"/>
    <n v="5"/>
    <n v="-52.195999999999998"/>
    <x v="1"/>
    <x v="3"/>
  </r>
  <r>
    <s v="CA-2017-111556"/>
    <x v="93"/>
    <d v="2017-11-22T00:00:00"/>
    <x v="2"/>
    <s v="CD-11920"/>
    <s v="Carlos Daly"/>
    <x v="0"/>
    <s v="United States"/>
    <x v="13"/>
    <x v="7"/>
    <x v="2"/>
    <s v="FUR-BO-10003159"/>
    <x v="0"/>
    <x v="0"/>
    <s v="Sauder Camden County Collection Libraries, Planked Cherry Finish"/>
    <n v="183.96799999999999"/>
    <n v="2"/>
    <n v="-25.2956"/>
    <x v="3"/>
    <x v="0"/>
  </r>
  <r>
    <s v="US-2014-138758"/>
    <x v="553"/>
    <d v="2014-07-11T00:00:00"/>
    <x v="1"/>
    <s v="JL-15835"/>
    <s v="John Lee"/>
    <x v="0"/>
    <s v="United States"/>
    <x v="3"/>
    <x v="3"/>
    <x v="2"/>
    <s v="FUR-CH-10002880"/>
    <x v="0"/>
    <x v="1"/>
    <s v="Global High-Back Leather Tilter, Burgundy"/>
    <n v="172.18600000000001"/>
    <n v="2"/>
    <n v="-46.736199999999997"/>
    <x v="4"/>
    <x v="3"/>
  </r>
  <r>
    <s v="US-2014-138758"/>
    <x v="553"/>
    <d v="2014-07-11T00:00:00"/>
    <x v="1"/>
    <s v="JL-15835"/>
    <s v="John Lee"/>
    <x v="0"/>
    <s v="United States"/>
    <x v="3"/>
    <x v="3"/>
    <x v="2"/>
    <s v="FUR-FU-10003039"/>
    <x v="0"/>
    <x v="3"/>
    <s v="Howard Miller 11-1/2&quot; Diameter Grantwood Wall Clock"/>
    <n v="69.007999999999996"/>
    <n v="2"/>
    <n v="12.0764"/>
    <x v="4"/>
    <x v="3"/>
  </r>
  <r>
    <s v="CA-2016-131737"/>
    <x v="554"/>
    <d v="2016-03-17T00:00:00"/>
    <x v="3"/>
    <s v="GZ-14470"/>
    <s v="Gary Zandusky"/>
    <x v="0"/>
    <s v="United States"/>
    <x v="11"/>
    <x v="32"/>
    <x v="2"/>
    <s v="FUR-FU-10004306"/>
    <x v="0"/>
    <x v="3"/>
    <s v="Electrix Halogen Magnifier Lamp"/>
    <n v="971.5"/>
    <n v="5"/>
    <n v="252.59"/>
    <x v="7"/>
    <x v="9"/>
  </r>
  <r>
    <s v="CA-2014-160157"/>
    <x v="191"/>
    <d v="2014-12-27T00:00:00"/>
    <x v="1"/>
    <s v="MH-17455"/>
    <s v="Mark Hamilton"/>
    <x v="0"/>
    <s v="United States"/>
    <x v="243"/>
    <x v="15"/>
    <x v="2"/>
    <s v="FUR-FU-10003773"/>
    <x v="0"/>
    <x v="3"/>
    <s v="Eldon Cleatmat Plus Chair Mats for High Pile Carpets"/>
    <n v="190.84800000000001"/>
    <n v="3"/>
    <n v="-21.470400000000001"/>
    <x v="1"/>
    <x v="5"/>
  </r>
  <r>
    <s v="CA-2017-159464"/>
    <x v="514"/>
    <d v="2017-05-19T00:00:00"/>
    <x v="2"/>
    <s v="TB-21355"/>
    <s v="Todd Boyes"/>
    <x v="1"/>
    <s v="United States"/>
    <x v="244"/>
    <x v="24"/>
    <x v="0"/>
    <s v="FUR-BO-10003546"/>
    <x v="0"/>
    <x v="0"/>
    <s v="Hon 4-Shelf Metal Bookcases"/>
    <n v="302.94"/>
    <n v="3"/>
    <n v="75.734999999999999"/>
    <x v="5"/>
    <x v="7"/>
  </r>
  <r>
    <s v="CA-2017-119452"/>
    <x v="555"/>
    <d v="2017-03-27T00:00:00"/>
    <x v="1"/>
    <s v="CL-12565"/>
    <s v="Clay Ludtke"/>
    <x v="0"/>
    <s v="United States"/>
    <x v="169"/>
    <x v="37"/>
    <x v="3"/>
    <s v="FUR-CH-10004495"/>
    <x v="0"/>
    <x v="1"/>
    <s v="Global Leather and Oak Executive Chair, Black"/>
    <n v="1805.88"/>
    <n v="6"/>
    <n v="523.70519999999999"/>
    <x v="6"/>
    <x v="9"/>
  </r>
  <r>
    <s v="CA-2016-168893"/>
    <x v="361"/>
    <d v="2016-11-08T00:00:00"/>
    <x v="0"/>
    <s v="AP-10915"/>
    <s v="Arthur Prichep"/>
    <x v="0"/>
    <s v="United States"/>
    <x v="0"/>
    <x v="0"/>
    <x v="0"/>
    <s v="FUR-FU-10002885"/>
    <x v="0"/>
    <x v="3"/>
    <s v="Magna Visual Magnetic Picture Hangers"/>
    <n v="24.1"/>
    <n v="5"/>
    <n v="9.1579999999999995"/>
    <x v="2"/>
    <x v="0"/>
  </r>
  <r>
    <s v="CA-2016-168893"/>
    <x v="361"/>
    <d v="2016-11-08T00:00:00"/>
    <x v="0"/>
    <s v="AP-10915"/>
    <s v="Arthur Prichep"/>
    <x v="0"/>
    <s v="United States"/>
    <x v="0"/>
    <x v="0"/>
    <x v="0"/>
    <s v="FUR-TA-10003392"/>
    <x v="0"/>
    <x v="2"/>
    <s v="Global Adaptabilities Conference Tables"/>
    <n v="842.94"/>
    <n v="3"/>
    <n v="160.15860000000001"/>
    <x v="2"/>
    <x v="0"/>
  </r>
  <r>
    <s v="CA-2015-121965"/>
    <x v="556"/>
    <d v="2015-06-23T00:00:00"/>
    <x v="1"/>
    <s v="LH-17155"/>
    <s v="Logan Haushalter"/>
    <x v="0"/>
    <s v="United States"/>
    <x v="2"/>
    <x v="2"/>
    <x v="1"/>
    <s v="FUR-FU-10000732"/>
    <x v="0"/>
    <x v="3"/>
    <s v="Eldon 200 Class Desk Accessories"/>
    <n v="12.56"/>
    <n v="2"/>
    <n v="4.0191999999999997"/>
    <x v="4"/>
    <x v="2"/>
  </r>
  <r>
    <s v="CA-2016-147137"/>
    <x v="557"/>
    <d v="2016-07-06T00:00:00"/>
    <x v="2"/>
    <s v="AA-10645"/>
    <s v="Anna Andreadi"/>
    <x v="0"/>
    <s v="United States"/>
    <x v="28"/>
    <x v="2"/>
    <x v="1"/>
    <s v="FUR-FU-10000221"/>
    <x v="0"/>
    <x v="3"/>
    <s v="Master Caster Door Stop, Brown"/>
    <n v="25.4"/>
    <n v="5"/>
    <n v="8.6359999999999992"/>
    <x v="3"/>
    <x v="3"/>
  </r>
  <r>
    <s v="CA-2016-147137"/>
    <x v="557"/>
    <d v="2016-07-06T00:00:00"/>
    <x v="2"/>
    <s v="AA-10645"/>
    <s v="Anna Andreadi"/>
    <x v="0"/>
    <s v="United States"/>
    <x v="28"/>
    <x v="2"/>
    <x v="1"/>
    <s v="FUR-BO-10001811"/>
    <x v="0"/>
    <x v="0"/>
    <s v="Atlantic Metals Mobile 5-Shelf Bookcases, Custom Colors"/>
    <n v="1279.165"/>
    <n v="5"/>
    <n v="225.73500000000001"/>
    <x v="3"/>
    <x v="3"/>
  </r>
  <r>
    <s v="US-2015-146745"/>
    <x v="558"/>
    <d v="2015-09-08T00:00:00"/>
    <x v="1"/>
    <s v="AS-10630"/>
    <s v="Ann Steele"/>
    <x v="2"/>
    <s v="United States"/>
    <x v="28"/>
    <x v="2"/>
    <x v="1"/>
    <s v="FUR-CH-10002372"/>
    <x v="0"/>
    <x v="1"/>
    <s v="Office Star - Ergonomically Designed Knee Chair"/>
    <n v="129.56800000000001"/>
    <n v="2"/>
    <n v="-12.956799999999999"/>
    <x v="2"/>
    <x v="4"/>
  </r>
  <r>
    <s v="US-2017-125717"/>
    <x v="559"/>
    <d v="2017-10-01T00:00:00"/>
    <x v="2"/>
    <s v="DS-13030"/>
    <s v="Darrin Sayre"/>
    <x v="2"/>
    <s v="United States"/>
    <x v="14"/>
    <x v="12"/>
    <x v="1"/>
    <s v="FUR-FU-10001979"/>
    <x v="0"/>
    <x v="3"/>
    <s v="Dana Halogen Swing-Arm Architect Lamp"/>
    <n v="32.776000000000003"/>
    <n v="1"/>
    <n v="3.2776000000000001"/>
    <x v="0"/>
    <x v="4"/>
  </r>
  <r>
    <s v="CA-2017-168641"/>
    <x v="241"/>
    <d v="2017-12-01T00:00:00"/>
    <x v="1"/>
    <s v="KA-16525"/>
    <s v="Kelly Andreada"/>
    <x v="0"/>
    <s v="United States"/>
    <x v="13"/>
    <x v="7"/>
    <x v="2"/>
    <s v="FUR-BO-10000780"/>
    <x v="0"/>
    <x v="0"/>
    <s v="O'Sullivan Plantations 2-Door Library in Landvery Oak"/>
    <n v="321.56799999999998"/>
    <n v="2"/>
    <n v="-16.078399999999998"/>
    <x v="1"/>
    <x v="0"/>
  </r>
  <r>
    <s v="CA-2017-156895"/>
    <x v="258"/>
    <d v="2017-05-12T00:00:00"/>
    <x v="1"/>
    <s v="DJ-13510"/>
    <s v="Don Jones"/>
    <x v="1"/>
    <s v="United States"/>
    <x v="3"/>
    <x v="3"/>
    <x v="2"/>
    <s v="FUR-CH-10003535"/>
    <x v="0"/>
    <x v="1"/>
    <s v="Global Armless Task Chair, Royal Blue"/>
    <n v="128.05799999999999"/>
    <n v="3"/>
    <n v="-23.7822"/>
    <x v="4"/>
    <x v="7"/>
  </r>
  <r>
    <s v="CA-2017-121300"/>
    <x v="560"/>
    <d v="2017-09-29T00:00:00"/>
    <x v="3"/>
    <s v="MG-17680"/>
    <s v="Maureen Gastineau"/>
    <x v="2"/>
    <s v="United States"/>
    <x v="245"/>
    <x v="15"/>
    <x v="2"/>
    <s v="FUR-CH-10003774"/>
    <x v="0"/>
    <x v="1"/>
    <s v="Global Wood Trimmed Manager's Task Chair, Khaki"/>
    <n v="63.686"/>
    <n v="1"/>
    <n v="-15.4666"/>
    <x v="7"/>
    <x v="4"/>
  </r>
  <r>
    <s v="CA-2017-121300"/>
    <x v="560"/>
    <d v="2017-09-29T00:00:00"/>
    <x v="3"/>
    <s v="MG-17680"/>
    <s v="Maureen Gastineau"/>
    <x v="2"/>
    <s v="United States"/>
    <x v="245"/>
    <x v="15"/>
    <x v="2"/>
    <s v="FUR-TA-10004442"/>
    <x v="0"/>
    <x v="2"/>
    <s v="Riverside Furniture Stanwyck Manor Table Series"/>
    <n v="344.22"/>
    <n v="2"/>
    <n v="-189.321"/>
    <x v="7"/>
    <x v="4"/>
  </r>
  <r>
    <s v="CA-2017-121300"/>
    <x v="560"/>
    <d v="2017-09-29T00:00:00"/>
    <x v="3"/>
    <s v="MG-17680"/>
    <s v="Maureen Gastineau"/>
    <x v="2"/>
    <s v="United States"/>
    <x v="245"/>
    <x v="15"/>
    <x v="2"/>
    <s v="FUR-FU-10004586"/>
    <x v="0"/>
    <x v="3"/>
    <s v="G.E. Longer-Life Indoor Recessed Floodlight Bulbs"/>
    <n v="21.248000000000001"/>
    <n v="4"/>
    <n v="7.4367999999999999"/>
    <x v="7"/>
    <x v="4"/>
  </r>
  <r>
    <s v="CA-2017-130211"/>
    <x v="546"/>
    <d v="2017-10-22T00:00:00"/>
    <x v="3"/>
    <s v="BD-11620"/>
    <s v="Brian DeCherney"/>
    <x v="0"/>
    <s v="United States"/>
    <x v="246"/>
    <x v="37"/>
    <x v="3"/>
    <s v="FUR-TA-10003748"/>
    <x v="0"/>
    <x v="2"/>
    <s v="Bevis 36 x 72 Conference Tables"/>
    <n v="248.98"/>
    <n v="2"/>
    <n v="54.775599999999997"/>
    <x v="7"/>
    <x v="1"/>
  </r>
  <r>
    <s v="CA-2017-105921"/>
    <x v="561"/>
    <d v="2017-08-21T00:00:00"/>
    <x v="1"/>
    <s v="JM-15250"/>
    <s v="Janet Martin"/>
    <x v="0"/>
    <s v="United States"/>
    <x v="2"/>
    <x v="2"/>
    <x v="1"/>
    <s v="FUR-TA-10001095"/>
    <x v="0"/>
    <x v="2"/>
    <s v="Chromcraft Round Conference Tables"/>
    <n v="418.29599999999999"/>
    <n v="3"/>
    <n v="5.2286999999999999"/>
    <x v="1"/>
    <x v="10"/>
  </r>
  <r>
    <s v="CA-2014-150798"/>
    <x v="280"/>
    <d v="2014-12-03T00:00:00"/>
    <x v="0"/>
    <s v="JK-15730"/>
    <s v="Joe Kamberova"/>
    <x v="0"/>
    <s v="United States"/>
    <x v="29"/>
    <x v="15"/>
    <x v="2"/>
    <s v="FUR-FU-10000221"/>
    <x v="0"/>
    <x v="3"/>
    <s v="Master Caster Door Stop, Brown"/>
    <n v="8.1280000000000001"/>
    <n v="2"/>
    <n v="1.4224000000000001"/>
    <x v="3"/>
    <x v="5"/>
  </r>
  <r>
    <s v="CA-2014-150798"/>
    <x v="280"/>
    <d v="2014-12-03T00:00:00"/>
    <x v="0"/>
    <s v="JK-15730"/>
    <s v="Joe Kamberova"/>
    <x v="0"/>
    <s v="United States"/>
    <x v="29"/>
    <x v="15"/>
    <x v="2"/>
    <s v="FUR-CH-10000015"/>
    <x v="0"/>
    <x v="1"/>
    <s v="Hon Multipurpose Stacking Arm Chairs"/>
    <n v="909.72"/>
    <n v="6"/>
    <n v="-51.984000000000002"/>
    <x v="3"/>
    <x v="5"/>
  </r>
  <r>
    <s v="CA-2017-112753"/>
    <x v="562"/>
    <d v="2017-06-23T00:00:00"/>
    <x v="1"/>
    <s v="CC-12670"/>
    <s v="Craig Carreira"/>
    <x v="0"/>
    <s v="United States"/>
    <x v="2"/>
    <x v="2"/>
    <x v="1"/>
    <s v="FUR-BO-10004015"/>
    <x v="0"/>
    <x v="0"/>
    <s v="Bush Andora Bookcase, Maple/Graphite Gray Finish"/>
    <n v="917.92349999999999"/>
    <n v="9"/>
    <n v="75.593699999999998"/>
    <x v="2"/>
    <x v="2"/>
  </r>
  <r>
    <s v="US-2014-138247"/>
    <x v="109"/>
    <d v="2014-12-29T00:00:00"/>
    <x v="1"/>
    <s v="BF-11170"/>
    <s v="Ben Ferrer"/>
    <x v="2"/>
    <s v="United States"/>
    <x v="2"/>
    <x v="2"/>
    <x v="1"/>
    <s v="FUR-FU-10002554"/>
    <x v="0"/>
    <x v="3"/>
    <s v="Westinghouse Floor Lamp with Metal Mesh Shade, Black"/>
    <n v="23.99"/>
    <n v="1"/>
    <n v="5.5176999999999996"/>
    <x v="2"/>
    <x v="5"/>
  </r>
  <r>
    <s v="CA-2017-167003"/>
    <x v="563"/>
    <d v="2017-05-29T00:00:00"/>
    <x v="1"/>
    <s v="VS-21820"/>
    <s v="Vivek Sundaresam"/>
    <x v="0"/>
    <s v="United States"/>
    <x v="2"/>
    <x v="2"/>
    <x v="1"/>
    <s v="FUR-TA-10001520"/>
    <x v="0"/>
    <x v="2"/>
    <s v="Lesro Sheffield Collection Coffee Table, End Table, Center Table, Corner Table"/>
    <n v="171.28800000000001"/>
    <n v="3"/>
    <n v="-6.4233000000000002"/>
    <x v="6"/>
    <x v="7"/>
  </r>
  <r>
    <s v="CA-2016-119935"/>
    <x v="480"/>
    <d v="2016-11-14T00:00:00"/>
    <x v="1"/>
    <s v="KM-16225"/>
    <s v="Kalyca Meade"/>
    <x v="1"/>
    <s v="United States"/>
    <x v="76"/>
    <x v="23"/>
    <x v="3"/>
    <s v="FUR-FU-10001085"/>
    <x v="0"/>
    <x v="3"/>
    <s v="3M Polarizing Light Filter Sleeves"/>
    <n v="37.299999999999997"/>
    <n v="2"/>
    <n v="17.158000000000001"/>
    <x v="4"/>
    <x v="0"/>
  </r>
  <r>
    <s v="CA-2016-120873"/>
    <x v="78"/>
    <d v="2016-11-01T00:00:00"/>
    <x v="0"/>
    <s v="BW-11200"/>
    <s v="Ben Wallace"/>
    <x v="0"/>
    <s v="United States"/>
    <x v="247"/>
    <x v="25"/>
    <x v="0"/>
    <s v="FUR-CH-10000847"/>
    <x v="0"/>
    <x v="1"/>
    <s v="Global Executive Mid-Back Manager's Chair"/>
    <n v="290.98"/>
    <n v="1"/>
    <n v="75.654799999999994"/>
    <x v="2"/>
    <x v="1"/>
  </r>
  <r>
    <s v="CA-2014-109491"/>
    <x v="564"/>
    <d v="2014-02-26T00:00:00"/>
    <x v="1"/>
    <s v="LC-16930"/>
    <s v="Linda Cazamias"/>
    <x v="1"/>
    <s v="United States"/>
    <x v="52"/>
    <x v="6"/>
    <x v="3"/>
    <s v="FUR-FU-10000221"/>
    <x v="0"/>
    <x v="3"/>
    <s v="Master Caster Door Stop, Brown"/>
    <n v="20.32"/>
    <n v="4"/>
    <n v="6.9088000000000003"/>
    <x v="6"/>
    <x v="11"/>
  </r>
  <r>
    <s v="CA-2014-107454"/>
    <x v="565"/>
    <d v="2014-11-06T00:00:00"/>
    <x v="1"/>
    <s v="RD-19720"/>
    <s v="Roger Demir"/>
    <x v="0"/>
    <s v="United States"/>
    <x v="13"/>
    <x v="7"/>
    <x v="2"/>
    <s v="FUR-FU-10004018"/>
    <x v="0"/>
    <x v="3"/>
    <s v="Tensor Computer Mounted Lamp"/>
    <n v="89.34"/>
    <n v="6"/>
    <n v="24.1218"/>
    <x v="4"/>
    <x v="0"/>
  </r>
  <r>
    <s v="US-2017-105046"/>
    <x v="357"/>
    <d v="2017-07-23T00:00:00"/>
    <x v="1"/>
    <s v="BE-11335"/>
    <s v="Bill Eplett"/>
    <x v="2"/>
    <s v="United States"/>
    <x v="248"/>
    <x v="7"/>
    <x v="2"/>
    <s v="FUR-FU-10004848"/>
    <x v="0"/>
    <x v="3"/>
    <s v="DAX Solid Wood Frames"/>
    <n v="39.08"/>
    <n v="4"/>
    <n v="14.4596"/>
    <x v="6"/>
    <x v="3"/>
  </r>
  <r>
    <s v="CA-2016-118759"/>
    <x v="566"/>
    <d v="2016-11-17T00:00:00"/>
    <x v="2"/>
    <s v="MB-17305"/>
    <s v="Maria Bertelson"/>
    <x v="0"/>
    <s v="United States"/>
    <x v="13"/>
    <x v="7"/>
    <x v="2"/>
    <s v="FUR-CH-10002335"/>
    <x v="0"/>
    <x v="1"/>
    <s v="Hon GuestStacker Chair"/>
    <n v="408.00599999999997"/>
    <n v="2"/>
    <n v="72.534400000000005"/>
    <x v="0"/>
    <x v="0"/>
  </r>
  <r>
    <s v="CA-2014-140403"/>
    <x v="567"/>
    <d v="2014-10-10T00:00:00"/>
    <x v="3"/>
    <s v="TN-21040"/>
    <s v="Tanja Norvell"/>
    <x v="2"/>
    <s v="United States"/>
    <x v="249"/>
    <x v="2"/>
    <x v="1"/>
    <s v="FUR-CH-10002774"/>
    <x v="0"/>
    <x v="1"/>
    <s v="Global Deluxe Stacking Chair, Gray"/>
    <n v="122.352"/>
    <n v="3"/>
    <n v="13.7646"/>
    <x v="7"/>
    <x v="1"/>
  </r>
  <r>
    <s v="CA-2017-138464"/>
    <x v="220"/>
    <d v="2017-07-12T00:00:00"/>
    <x v="1"/>
    <s v="VF-21715"/>
    <s v="Vicky Freymann"/>
    <x v="2"/>
    <s v="United States"/>
    <x v="15"/>
    <x v="13"/>
    <x v="1"/>
    <s v="FUR-FU-10003142"/>
    <x v="0"/>
    <x v="3"/>
    <s v="Master Big Foot Doorstop, Beige"/>
    <n v="15.84"/>
    <n v="3"/>
    <n v="4.9104000000000001"/>
    <x v="4"/>
    <x v="3"/>
  </r>
  <r>
    <s v="CA-2015-104129"/>
    <x v="568"/>
    <d v="2015-03-02T00:00:00"/>
    <x v="1"/>
    <s v="ES-14080"/>
    <s v="Erin Smith"/>
    <x v="1"/>
    <s v="United States"/>
    <x v="134"/>
    <x v="38"/>
    <x v="2"/>
    <s v="FUR-TA-10004152"/>
    <x v="0"/>
    <x v="2"/>
    <s v="Barricks 18&quot; x 48&quot; Non-Folding Utility Table with Bottom Storage Shelf"/>
    <n v="493.92"/>
    <n v="7"/>
    <n v="-28.224"/>
    <x v="0"/>
    <x v="11"/>
  </r>
  <r>
    <s v="CA-2015-126557"/>
    <x v="569"/>
    <d v="2015-07-17T00:00:00"/>
    <x v="0"/>
    <s v="RL-19615"/>
    <s v="Rob Lucas"/>
    <x v="0"/>
    <s v="United States"/>
    <x v="9"/>
    <x v="8"/>
    <x v="3"/>
    <s v="FUR-CH-10004477"/>
    <x v="0"/>
    <x v="1"/>
    <s v="Global Push Button Manager's Chair, Indigo"/>
    <n v="383.60700000000003"/>
    <n v="9"/>
    <n v="-5.4801000000000002"/>
    <x v="2"/>
    <x v="3"/>
  </r>
  <r>
    <s v="CA-2015-126557"/>
    <x v="569"/>
    <d v="2015-07-17T00:00:00"/>
    <x v="0"/>
    <s v="RL-19615"/>
    <s v="Rob Lucas"/>
    <x v="0"/>
    <s v="United States"/>
    <x v="9"/>
    <x v="8"/>
    <x v="3"/>
    <s v="FUR-FU-10001861"/>
    <x v="0"/>
    <x v="3"/>
    <s v="Floodlight Indoor Halogen Bulbs, 1 Bulb per Pack, 60 Watts"/>
    <n v="7.76"/>
    <n v="1"/>
    <n v="-2.1339999999999999"/>
    <x v="2"/>
    <x v="3"/>
  </r>
  <r>
    <s v="US-2014-165862"/>
    <x v="570"/>
    <d v="2014-07-17T00:00:00"/>
    <x v="1"/>
    <s v="GK-14620"/>
    <s v="Grace Kelly"/>
    <x v="1"/>
    <s v="United States"/>
    <x v="2"/>
    <x v="2"/>
    <x v="1"/>
    <s v="FUR-TA-10002855"/>
    <x v="0"/>
    <x v="2"/>
    <s v="Bevis Round Conference Table Top &amp; Single Column Base"/>
    <n v="351.21600000000001"/>
    <n v="3"/>
    <n v="4.3902000000000001"/>
    <x v="4"/>
    <x v="3"/>
  </r>
  <r>
    <s v="US-2014-106334"/>
    <x v="421"/>
    <d v="2015-01-02T00:00:00"/>
    <x v="1"/>
    <s v="JF-15490"/>
    <s v="Jeremy Farry"/>
    <x v="0"/>
    <s v="United States"/>
    <x v="28"/>
    <x v="2"/>
    <x v="1"/>
    <s v="FUR-CH-10004886"/>
    <x v="0"/>
    <x v="1"/>
    <s v="Bevis Steel Folding Chairs"/>
    <n v="230.28"/>
    <n v="3"/>
    <n v="23.027999999999999"/>
    <x v="6"/>
    <x v="5"/>
  </r>
  <r>
    <s v="CA-2014-110219"/>
    <x v="571"/>
    <d v="2014-05-08T00:00:00"/>
    <x v="2"/>
    <s v="EB-13870"/>
    <s v="Emily Burns"/>
    <x v="0"/>
    <s v="United States"/>
    <x v="21"/>
    <x v="5"/>
    <x v="3"/>
    <s v="FUR-CH-10001146"/>
    <x v="0"/>
    <x v="1"/>
    <s v="Global Value Mid-Back Manager's Chair, Gray"/>
    <n v="127.869"/>
    <n v="3"/>
    <n v="-9.1334999999999997"/>
    <x v="0"/>
    <x v="7"/>
  </r>
  <r>
    <s v="CA-2015-118871"/>
    <x v="463"/>
    <d v="2015-12-09T00:00:00"/>
    <x v="0"/>
    <s v="HM-14860"/>
    <s v="Harry Marie"/>
    <x v="1"/>
    <s v="United States"/>
    <x v="2"/>
    <x v="2"/>
    <x v="1"/>
    <s v="FUR-FU-10002111"/>
    <x v="0"/>
    <x v="3"/>
    <s v="Master Caster Door Stop, Large Brown"/>
    <n v="36.4"/>
    <n v="5"/>
    <n v="13.832000000000001"/>
    <x v="2"/>
    <x v="5"/>
  </r>
  <r>
    <s v="CA-2017-129490"/>
    <x v="572"/>
    <d v="2017-09-30T00:00:00"/>
    <x v="1"/>
    <s v="SJ-20125"/>
    <s v="Sanjit Jacobs"/>
    <x v="2"/>
    <s v="United States"/>
    <x v="232"/>
    <x v="1"/>
    <x v="0"/>
    <s v="FUR-CH-10003298"/>
    <x v="0"/>
    <x v="1"/>
    <s v="Office Star - Contemporary Task Swivel chair with Loop Arms, Charcoal"/>
    <n v="419.13600000000002"/>
    <n v="4"/>
    <n v="-57.6312"/>
    <x v="4"/>
    <x v="4"/>
  </r>
  <r>
    <s v="CA-2014-169460"/>
    <x v="573"/>
    <d v="2014-04-21T00:00:00"/>
    <x v="0"/>
    <s v="NF-18595"/>
    <s v="Nicole Fjeld"/>
    <x v="2"/>
    <s v="United States"/>
    <x v="124"/>
    <x v="2"/>
    <x v="1"/>
    <s v="FUR-FU-10004017"/>
    <x v="0"/>
    <x v="3"/>
    <s v="Executive Impressions 13&quot; Chairman Wall Clock"/>
    <n v="76.14"/>
    <n v="3"/>
    <n v="26.649000000000001"/>
    <x v="3"/>
    <x v="6"/>
  </r>
  <r>
    <s v="CA-2016-139395"/>
    <x v="574"/>
    <d v="2016-12-18T00:00:00"/>
    <x v="1"/>
    <s v="MG-17650"/>
    <s v="Matthew Grinstein"/>
    <x v="2"/>
    <s v="United States"/>
    <x v="38"/>
    <x v="17"/>
    <x v="3"/>
    <s v="FUR-FU-10003724"/>
    <x v="0"/>
    <x v="3"/>
    <s v="Westinghouse Clip-On Gooseneck Lamps"/>
    <n v="33.479999999999997"/>
    <n v="4"/>
    <n v="8.7048000000000005"/>
    <x v="6"/>
    <x v="5"/>
  </r>
  <r>
    <s v="CA-2016-120250"/>
    <x v="107"/>
    <d v="2016-09-22T00:00:00"/>
    <x v="2"/>
    <s v="AP-10720"/>
    <s v="Anne Pryor"/>
    <x v="2"/>
    <s v="United States"/>
    <x v="3"/>
    <x v="3"/>
    <x v="2"/>
    <s v="FUR-FU-10003424"/>
    <x v="0"/>
    <x v="3"/>
    <s v="Nu-Dell Oak Frame"/>
    <n v="25.632000000000001"/>
    <n v="3"/>
    <n v="3.8448000000000002"/>
    <x v="0"/>
    <x v="4"/>
  </r>
  <r>
    <s v="US-2017-163790"/>
    <x v="575"/>
    <d v="2017-11-04T00:00:00"/>
    <x v="0"/>
    <s v="NL-18310"/>
    <s v="Nancy Lomonaco"/>
    <x v="2"/>
    <s v="United States"/>
    <x v="250"/>
    <x v="2"/>
    <x v="1"/>
    <s v="FUR-FU-10002508"/>
    <x v="0"/>
    <x v="3"/>
    <s v="Document Clip Frames"/>
    <n v="25.02"/>
    <n v="3"/>
    <n v="10.5084"/>
    <x v="3"/>
    <x v="0"/>
  </r>
  <r>
    <s v="CA-2016-129868"/>
    <x v="576"/>
    <d v="2016-12-31T00:00:00"/>
    <x v="1"/>
    <s v="MC-18130"/>
    <s v="Mike Caudle"/>
    <x v="1"/>
    <s v="United States"/>
    <x v="2"/>
    <x v="2"/>
    <x v="1"/>
    <s v="FUR-CH-10003535"/>
    <x v="0"/>
    <x v="1"/>
    <s v="Global Armless Task Chair, Royal Blue"/>
    <n v="146.352"/>
    <n v="3"/>
    <n v="-5.4882"/>
    <x v="2"/>
    <x v="5"/>
  </r>
  <r>
    <s v="CA-2016-129868"/>
    <x v="576"/>
    <d v="2016-12-31T00:00:00"/>
    <x v="1"/>
    <s v="MC-18130"/>
    <s v="Mike Caudle"/>
    <x v="1"/>
    <s v="United States"/>
    <x v="2"/>
    <x v="2"/>
    <x v="1"/>
    <s v="FUR-TA-10003473"/>
    <x v="0"/>
    <x v="2"/>
    <s v="Bretford Rectangular Conference Table Tops"/>
    <n v="902.71199999999999"/>
    <n v="3"/>
    <n v="33.851700000000001"/>
    <x v="2"/>
    <x v="5"/>
  </r>
  <r>
    <s v="CA-2015-146948"/>
    <x v="370"/>
    <d v="2015-07-20T00:00:00"/>
    <x v="1"/>
    <s v="MG-17890"/>
    <s v="Michael Granlund"/>
    <x v="2"/>
    <s v="United States"/>
    <x v="237"/>
    <x v="32"/>
    <x v="2"/>
    <s v="FUR-CH-10004853"/>
    <x v="0"/>
    <x v="1"/>
    <s v="Global Manager's Adjustable Task Chair, Storm"/>
    <n v="150.97999999999999"/>
    <n v="1"/>
    <n v="43.784199999999998"/>
    <x v="4"/>
    <x v="3"/>
  </r>
  <r>
    <s v="US-2017-141852"/>
    <x v="17"/>
    <d v="2017-11-14T00:00:00"/>
    <x v="1"/>
    <s v="JE-15745"/>
    <s v="Joel Eaton"/>
    <x v="0"/>
    <s v="United States"/>
    <x v="64"/>
    <x v="2"/>
    <x v="1"/>
    <s v="FUR-FU-10000023"/>
    <x v="0"/>
    <x v="3"/>
    <s v="Eldon Wave Desk Accessories"/>
    <n v="47.12"/>
    <n v="8"/>
    <n v="20.732800000000001"/>
    <x v="2"/>
    <x v="0"/>
  </r>
  <r>
    <s v="CA-2015-117800"/>
    <x v="231"/>
    <d v="2015-09-26T00:00:00"/>
    <x v="1"/>
    <s v="TH-21550"/>
    <s v="Tracy Hopkins"/>
    <x v="2"/>
    <s v="United States"/>
    <x v="114"/>
    <x v="20"/>
    <x v="2"/>
    <s v="FUR-CH-10000785"/>
    <x v="0"/>
    <x v="1"/>
    <s v="Global Ergonomic Managers Chair"/>
    <n v="542.94000000000005"/>
    <n v="3"/>
    <n v="141.1644"/>
    <x v="2"/>
    <x v="4"/>
  </r>
  <r>
    <s v="CA-2017-147228"/>
    <x v="198"/>
    <d v="2017-09-14T00:00:00"/>
    <x v="1"/>
    <s v="SO-20335"/>
    <s v="Sean O'Donnell"/>
    <x v="0"/>
    <s v="United States"/>
    <x v="11"/>
    <x v="9"/>
    <x v="0"/>
    <s v="FUR-FU-10000023"/>
    <x v="0"/>
    <x v="3"/>
    <s v="Eldon Wave Desk Accessories"/>
    <n v="14.135999999999999"/>
    <n v="3"/>
    <n v="4.2408000000000001"/>
    <x v="2"/>
    <x v="4"/>
  </r>
  <r>
    <s v="US-2015-126235"/>
    <x v="233"/>
    <d v="2015-10-15T00:00:00"/>
    <x v="3"/>
    <s v="GA-14725"/>
    <s v="Guy Armstrong"/>
    <x v="0"/>
    <s v="United States"/>
    <x v="189"/>
    <x v="17"/>
    <x v="3"/>
    <s v="FUR-FU-10000719"/>
    <x v="0"/>
    <x v="3"/>
    <s v="DAX Cubicle Frames, 8-1/2 x 11"/>
    <n v="17.14"/>
    <n v="2"/>
    <n v="6.1703999999999999"/>
    <x v="7"/>
    <x v="1"/>
  </r>
  <r>
    <s v="CA-2017-168396"/>
    <x v="309"/>
    <d v="2017-08-08T00:00:00"/>
    <x v="0"/>
    <s v="BD-11725"/>
    <s v="Bruce Degenhardt"/>
    <x v="0"/>
    <s v="United States"/>
    <x v="28"/>
    <x v="2"/>
    <x v="1"/>
    <s v="FUR-FU-10000723"/>
    <x v="0"/>
    <x v="3"/>
    <s v="Deflect-o EconoMat Studded, No Bevel Mat for Low Pile Carpeting"/>
    <n v="123.96"/>
    <n v="3"/>
    <n v="11.1564"/>
    <x v="2"/>
    <x v="10"/>
  </r>
  <r>
    <s v="CA-2015-130456"/>
    <x v="130"/>
    <d v="2015-08-26T00:00:00"/>
    <x v="1"/>
    <s v="DS-13180"/>
    <s v="David Smith"/>
    <x v="1"/>
    <s v="United States"/>
    <x v="28"/>
    <x v="2"/>
    <x v="1"/>
    <s v="FUR-BO-10003893"/>
    <x v="0"/>
    <x v="0"/>
    <s v="Sauder Camden County Collection Library"/>
    <n v="586.39800000000002"/>
    <n v="6"/>
    <n v="34.494"/>
    <x v="2"/>
    <x v="10"/>
  </r>
  <r>
    <s v="CA-2017-130141"/>
    <x v="546"/>
    <d v="2017-10-24T00:00:00"/>
    <x v="0"/>
    <s v="HA-14905"/>
    <s v="Helen Abelman"/>
    <x v="0"/>
    <s v="United States"/>
    <x v="200"/>
    <x v="12"/>
    <x v="1"/>
    <s v="FUR-CH-10000749"/>
    <x v="0"/>
    <x v="1"/>
    <s v="Office Star - Ergonomic Mid Back Chair with 2-Way Adjustable Arms"/>
    <n v="579.13599999999997"/>
    <n v="4"/>
    <n v="-28.956800000000001"/>
    <x v="3"/>
    <x v="1"/>
  </r>
  <r>
    <s v="CA-2016-143910"/>
    <x v="577"/>
    <d v="2016-08-16T00:00:00"/>
    <x v="1"/>
    <s v="BC-11125"/>
    <s v="Becky Castell"/>
    <x v="2"/>
    <s v="United States"/>
    <x v="13"/>
    <x v="7"/>
    <x v="2"/>
    <s v="FUR-CH-10000225"/>
    <x v="0"/>
    <x v="1"/>
    <s v="Global Geo Office Task Chair, Gray"/>
    <n v="145.76400000000001"/>
    <n v="2"/>
    <n v="-8.0980000000000008"/>
    <x v="4"/>
    <x v="10"/>
  </r>
  <r>
    <s v="CA-2016-139556"/>
    <x v="578"/>
    <d v="2016-05-01T00:00:00"/>
    <x v="1"/>
    <s v="DB-13360"/>
    <s v="Dennis Bolton"/>
    <x v="2"/>
    <s v="United States"/>
    <x v="13"/>
    <x v="7"/>
    <x v="2"/>
    <s v="FUR-CH-10004983"/>
    <x v="0"/>
    <x v="1"/>
    <s v="Office Star - Mid Back Dual function Ergonomic High Back Chair with 2-Way Adjustable Arms"/>
    <n v="434.64600000000002"/>
    <n v="3"/>
    <n v="62.782200000000003"/>
    <x v="2"/>
    <x v="6"/>
  </r>
  <r>
    <s v="CA-2015-112130"/>
    <x v="496"/>
    <d v="2015-05-07T00:00:00"/>
    <x v="1"/>
    <s v="SV-20785"/>
    <s v="Stewart Visinsky"/>
    <x v="0"/>
    <s v="United States"/>
    <x v="3"/>
    <x v="3"/>
    <x v="2"/>
    <s v="FUR-CH-10002965"/>
    <x v="0"/>
    <x v="1"/>
    <s v="Global Leather Highback Executive Chair with Pneumatic Height Adjustment, Black"/>
    <n v="844.11599999999999"/>
    <n v="6"/>
    <n v="-36.176400000000001"/>
    <x v="4"/>
    <x v="7"/>
  </r>
  <r>
    <s v="CA-2016-116547"/>
    <x v="579"/>
    <d v="2016-01-17T00:00:00"/>
    <x v="1"/>
    <s v="KB-16585"/>
    <s v="Ken Black"/>
    <x v="1"/>
    <s v="United States"/>
    <x v="15"/>
    <x v="13"/>
    <x v="1"/>
    <s v="FUR-FU-10000076"/>
    <x v="0"/>
    <x v="3"/>
    <s v="24-Hour Round Wall Clock"/>
    <n v="79.92"/>
    <n v="4"/>
    <n v="34.365600000000001"/>
    <x v="1"/>
    <x v="8"/>
  </r>
  <r>
    <s v="US-2017-133200"/>
    <x v="580"/>
    <d v="2017-05-11T00:00:00"/>
    <x v="1"/>
    <s v="DB-13555"/>
    <s v="Dorothy Badders"/>
    <x v="1"/>
    <s v="United States"/>
    <x v="50"/>
    <x v="5"/>
    <x v="3"/>
    <s v="FUR-BO-10001601"/>
    <x v="0"/>
    <x v="0"/>
    <s v="Sauder Mission Library with Doors, Fruitwood Finish"/>
    <n v="623.46479999999997"/>
    <n v="7"/>
    <n v="-119.1918"/>
    <x v="2"/>
    <x v="7"/>
  </r>
  <r>
    <s v="CA-2016-133550"/>
    <x v="581"/>
    <d v="2016-08-06T00:00:00"/>
    <x v="1"/>
    <s v="KL-16645"/>
    <s v="Ken Lonsdale"/>
    <x v="0"/>
    <s v="United States"/>
    <x v="25"/>
    <x v="17"/>
    <x v="3"/>
    <s v="FUR-FU-10002918"/>
    <x v="0"/>
    <x v="3"/>
    <s v="Eldon ClusterMat Chair Mat with Cordless Antistatic Protection"/>
    <n v="272.94"/>
    <n v="3"/>
    <n v="30.023399999999999"/>
    <x v="6"/>
    <x v="3"/>
  </r>
  <r>
    <s v="CA-2017-139416"/>
    <x v="582"/>
    <d v="2017-03-29T00:00:00"/>
    <x v="0"/>
    <s v="AG-10270"/>
    <s v="Alejandro Grove"/>
    <x v="0"/>
    <s v="United States"/>
    <x v="3"/>
    <x v="3"/>
    <x v="2"/>
    <s v="FUR-FU-10003832"/>
    <x v="0"/>
    <x v="3"/>
    <s v="Eldon Expressions Punched Metal &amp; Wood Desk Accessories, Black &amp; Cherry"/>
    <n v="15.007999999999999"/>
    <n v="2"/>
    <n v="1.5007999999999999"/>
    <x v="3"/>
    <x v="9"/>
  </r>
  <r>
    <s v="CA-2016-159912"/>
    <x v="583"/>
    <d v="2016-09-03T00:00:00"/>
    <x v="1"/>
    <s v="GB-14530"/>
    <s v="George Bell"/>
    <x v="1"/>
    <s v="United States"/>
    <x v="3"/>
    <x v="3"/>
    <x v="2"/>
    <s v="FUR-TA-10004152"/>
    <x v="0"/>
    <x v="2"/>
    <s v="Barricks 18&quot; x 48&quot; Non-Folding Utility Table with Bottom Storage Shelf"/>
    <n v="241.92"/>
    <n v="4"/>
    <n v="-56.448"/>
    <x v="2"/>
    <x v="10"/>
  </r>
  <r>
    <s v="CA-2016-159912"/>
    <x v="583"/>
    <d v="2016-09-03T00:00:00"/>
    <x v="1"/>
    <s v="GB-14530"/>
    <s v="George Bell"/>
    <x v="1"/>
    <s v="United States"/>
    <x v="3"/>
    <x v="3"/>
    <x v="2"/>
    <s v="FUR-BO-10002853"/>
    <x v="0"/>
    <x v="0"/>
    <s v="O'Sullivan 5-Shelf Heavy-Duty Bookcases"/>
    <n v="163.88"/>
    <n v="4"/>
    <n v="-81.94"/>
    <x v="2"/>
    <x v="10"/>
  </r>
  <r>
    <s v="CA-2014-138681"/>
    <x v="191"/>
    <d v="2014-12-22T00:00:00"/>
    <x v="2"/>
    <s v="CT-11995"/>
    <s v="Carol Triggs"/>
    <x v="0"/>
    <s v="United States"/>
    <x v="104"/>
    <x v="22"/>
    <x v="1"/>
    <s v="FUR-FU-10001876"/>
    <x v="0"/>
    <x v="3"/>
    <s v="Computer Room Manger, 14&quot;"/>
    <n v="51.968000000000004"/>
    <n v="2"/>
    <n v="10.393599999999999"/>
    <x v="3"/>
    <x v="5"/>
  </r>
  <r>
    <s v="CA-2014-138681"/>
    <x v="191"/>
    <d v="2014-12-22T00:00:00"/>
    <x v="2"/>
    <s v="CT-11995"/>
    <s v="Carol Triggs"/>
    <x v="0"/>
    <s v="United States"/>
    <x v="104"/>
    <x v="22"/>
    <x v="1"/>
    <s v="FUR-CH-10004860"/>
    <x v="0"/>
    <x v="1"/>
    <s v="Global Low Back Tilter Chair"/>
    <n v="242.352"/>
    <n v="3"/>
    <n v="-42.4116"/>
    <x v="3"/>
    <x v="5"/>
  </r>
  <r>
    <s v="US-2015-138121"/>
    <x v="584"/>
    <d v="2015-12-17T00:00:00"/>
    <x v="3"/>
    <s v="JL-15835"/>
    <s v="John Lee"/>
    <x v="0"/>
    <s v="United States"/>
    <x v="25"/>
    <x v="17"/>
    <x v="3"/>
    <s v="FUR-CH-10003846"/>
    <x v="0"/>
    <x v="1"/>
    <s v="Hon Valutask Swivel Chairs"/>
    <n v="302.94"/>
    <n v="3"/>
    <n v="48.470399999999998"/>
    <x v="7"/>
    <x v="5"/>
  </r>
  <r>
    <s v="US-2015-138121"/>
    <x v="584"/>
    <d v="2015-12-17T00:00:00"/>
    <x v="3"/>
    <s v="JL-15835"/>
    <s v="John Lee"/>
    <x v="0"/>
    <s v="United States"/>
    <x v="25"/>
    <x v="17"/>
    <x v="3"/>
    <s v="FUR-CH-10004875"/>
    <x v="0"/>
    <x v="1"/>
    <s v="Harbour Creations 67200 Series Stacking Chairs"/>
    <n v="142.36000000000001"/>
    <n v="2"/>
    <n v="38.437199999999997"/>
    <x v="7"/>
    <x v="5"/>
  </r>
  <r>
    <s v="US-2015-138121"/>
    <x v="584"/>
    <d v="2015-12-17T00:00:00"/>
    <x v="3"/>
    <s v="JL-15835"/>
    <s v="John Lee"/>
    <x v="0"/>
    <s v="United States"/>
    <x v="25"/>
    <x v="17"/>
    <x v="3"/>
    <s v="FUR-CH-10003817"/>
    <x v="0"/>
    <x v="1"/>
    <s v="Global Value Steno Chair, Gray"/>
    <n v="546.66"/>
    <n v="9"/>
    <n v="136.66499999999999"/>
    <x v="7"/>
    <x v="5"/>
  </r>
  <r>
    <s v="US-2015-138121"/>
    <x v="584"/>
    <d v="2015-12-17T00:00:00"/>
    <x v="3"/>
    <s v="JL-15835"/>
    <s v="John Lee"/>
    <x v="0"/>
    <s v="United States"/>
    <x v="25"/>
    <x v="17"/>
    <x v="3"/>
    <s v="FUR-FU-10002116"/>
    <x v="0"/>
    <x v="3"/>
    <s v="Tenex Carpeted, Granite-Look or Clear Contemporary Contour Shape Chair Mats"/>
    <n v="212.13"/>
    <n v="3"/>
    <n v="14.8491"/>
    <x v="7"/>
    <x v="5"/>
  </r>
  <r>
    <s v="CA-2017-140298"/>
    <x v="585"/>
    <d v="2017-05-17T00:00:00"/>
    <x v="1"/>
    <s v="JK-16120"/>
    <s v="Julie Kriz"/>
    <x v="2"/>
    <s v="United States"/>
    <x v="198"/>
    <x v="5"/>
    <x v="3"/>
    <s v="FUR-FU-10001967"/>
    <x v="0"/>
    <x v="3"/>
    <s v="Telescoping Adjustable Floor Lamp"/>
    <n v="7.9960000000000004"/>
    <n v="1"/>
    <n v="-6.9965000000000002"/>
    <x v="6"/>
    <x v="7"/>
  </r>
  <r>
    <s v="CA-2016-158435"/>
    <x v="586"/>
    <d v="2016-05-18T00:00:00"/>
    <x v="2"/>
    <s v="AG-10900"/>
    <s v="Arthur Gainer"/>
    <x v="0"/>
    <s v="United States"/>
    <x v="251"/>
    <x v="19"/>
    <x v="2"/>
    <s v="FUR-FU-10003975"/>
    <x v="0"/>
    <x v="3"/>
    <s v="Eldon Advantage Chair Mats for Low to Medium Pile Carpets"/>
    <n v="173.24"/>
    <n v="4"/>
    <n v="17.324000000000002"/>
    <x v="5"/>
    <x v="7"/>
  </r>
  <r>
    <s v="CA-2014-108273"/>
    <x v="439"/>
    <d v="2014-12-21T00:00:00"/>
    <x v="1"/>
    <s v="EJ-13720"/>
    <s v="Ed Jacobs"/>
    <x v="0"/>
    <s v="United States"/>
    <x v="156"/>
    <x v="5"/>
    <x v="3"/>
    <s v="FUR-FU-10002116"/>
    <x v="0"/>
    <x v="3"/>
    <s v="Tenex Carpeted, Granite-Look or Clear Contemporary Contour Shape Chair Mats"/>
    <n v="56.567999999999998"/>
    <n v="2"/>
    <n v="-74.952600000000004"/>
    <x v="2"/>
    <x v="5"/>
  </r>
  <r>
    <s v="CA-2017-143126"/>
    <x v="587"/>
    <d v="2017-12-07T00:00:00"/>
    <x v="0"/>
    <s v="CM-12655"/>
    <s v="Corinna Mitchell"/>
    <x v="2"/>
    <s v="United States"/>
    <x v="15"/>
    <x v="13"/>
    <x v="1"/>
    <s v="FUR-TA-10002958"/>
    <x v="0"/>
    <x v="2"/>
    <s v="Bevis Oval Conference Table, Walnut"/>
    <n v="521.96"/>
    <n v="2"/>
    <n v="88.733199999999997"/>
    <x v="4"/>
    <x v="5"/>
  </r>
  <r>
    <s v="CA-2014-106229"/>
    <x v="588"/>
    <d v="2014-06-11T00:00:00"/>
    <x v="0"/>
    <s v="NR-18550"/>
    <s v="Nick Radford"/>
    <x v="0"/>
    <s v="United States"/>
    <x v="14"/>
    <x v="8"/>
    <x v="3"/>
    <s v="FUR-TA-10002041"/>
    <x v="0"/>
    <x v="2"/>
    <s v="Bevis Round Conference Table Top, X-Base"/>
    <n v="268.935"/>
    <n v="3"/>
    <n v="-209.76929999999999"/>
    <x v="4"/>
    <x v="2"/>
  </r>
  <r>
    <s v="CA-2014-119151"/>
    <x v="306"/>
    <d v="2014-11-29T00:00:00"/>
    <x v="0"/>
    <s v="MP-18175"/>
    <s v="Mike Pelletier"/>
    <x v="2"/>
    <s v="United States"/>
    <x v="13"/>
    <x v="7"/>
    <x v="2"/>
    <s v="FUR-BO-10003159"/>
    <x v="0"/>
    <x v="0"/>
    <s v="Sauder Camden County Collection Libraries, Planked Cherry Finish"/>
    <n v="275.952"/>
    <n v="3"/>
    <n v="-37.943399999999997"/>
    <x v="4"/>
    <x v="0"/>
  </r>
  <r>
    <s v="US-2015-103996"/>
    <x v="165"/>
    <d v="2015-03-31T00:00:00"/>
    <x v="0"/>
    <s v="RB-19435"/>
    <s v="Richard Bierner"/>
    <x v="0"/>
    <s v="United States"/>
    <x v="53"/>
    <x v="2"/>
    <x v="1"/>
    <s v="FUR-FU-10004586"/>
    <x v="0"/>
    <x v="3"/>
    <s v="G.E. Longer-Life Indoor Recessed Floodlight Bulbs"/>
    <n v="19.920000000000002"/>
    <n v="3"/>
    <n v="9.5616000000000003"/>
    <x v="3"/>
    <x v="9"/>
  </r>
  <r>
    <s v="CA-2016-120530"/>
    <x v="589"/>
    <d v="2016-04-12T00:00:00"/>
    <x v="1"/>
    <s v="Dl-13600"/>
    <s v="Dorris liebe"/>
    <x v="1"/>
    <s v="United States"/>
    <x v="13"/>
    <x v="7"/>
    <x v="2"/>
    <s v="FUR-CH-10000454"/>
    <x v="0"/>
    <x v="1"/>
    <s v="Hon Deluxe Fabric Upholstered Stacking Chairs, Rounded Back"/>
    <n v="658.74599999999998"/>
    <n v="3"/>
    <n v="146.38800000000001"/>
    <x v="2"/>
    <x v="6"/>
  </r>
  <r>
    <s v="CA-2015-105725"/>
    <x v="590"/>
    <d v="2015-02-24T00:00:00"/>
    <x v="1"/>
    <s v="GT-14755"/>
    <s v="Guy Thornton"/>
    <x v="0"/>
    <s v="United States"/>
    <x v="62"/>
    <x v="2"/>
    <x v="1"/>
    <s v="FUR-TA-10001676"/>
    <x v="0"/>
    <x v="2"/>
    <s v="Hon 61000 Series Interactive Training Tables"/>
    <n v="35.543999999999997"/>
    <n v="1"/>
    <n v="-0.88859999999999995"/>
    <x v="6"/>
    <x v="11"/>
  </r>
  <r>
    <s v="CA-2016-120005"/>
    <x v="492"/>
    <d v="2016-03-03T00:00:00"/>
    <x v="3"/>
    <s v="TS-21160"/>
    <s v="Theresa Swint"/>
    <x v="1"/>
    <s v="United States"/>
    <x v="28"/>
    <x v="2"/>
    <x v="1"/>
    <s v="FUR-FU-10000672"/>
    <x v="0"/>
    <x v="3"/>
    <s v="Executive Impressions 10&quot; Spectator Wall Clock"/>
    <n v="35.28"/>
    <n v="3"/>
    <n v="11.995200000000001"/>
    <x v="7"/>
    <x v="9"/>
  </r>
  <r>
    <s v="CA-2017-103499"/>
    <x v="93"/>
    <d v="2017-11-24T00:00:00"/>
    <x v="1"/>
    <s v="ES-14020"/>
    <s v="Erica Smith"/>
    <x v="0"/>
    <s v="United States"/>
    <x v="38"/>
    <x v="9"/>
    <x v="0"/>
    <s v="FUR-CH-10001482"/>
    <x v="0"/>
    <x v="1"/>
    <s v="Office Star - Mesh Screen back chair with Vinyl seat"/>
    <n v="209.56800000000001"/>
    <n v="2"/>
    <n v="-23.5764"/>
    <x v="4"/>
    <x v="0"/>
  </r>
  <r>
    <s v="CA-2017-119746"/>
    <x v="68"/>
    <d v="2017-11-27T00:00:00"/>
    <x v="1"/>
    <s v="CM-12385"/>
    <s v="Christopher Martinez"/>
    <x v="0"/>
    <s v="United States"/>
    <x v="9"/>
    <x v="8"/>
    <x v="3"/>
    <s v="FUR-FU-10004909"/>
    <x v="0"/>
    <x v="3"/>
    <s v="Contemporary Wood/Metal Frame"/>
    <n v="6.4640000000000004"/>
    <n v="1"/>
    <n v="-4.04"/>
    <x v="4"/>
    <x v="0"/>
  </r>
  <r>
    <s v="CA-2014-150301"/>
    <x v="591"/>
    <d v="2014-07-10T00:00:00"/>
    <x v="2"/>
    <s v="MH-18025"/>
    <s v="Michelle Huthwaite"/>
    <x v="0"/>
    <s v="United States"/>
    <x v="252"/>
    <x v="7"/>
    <x v="2"/>
    <s v="FUR-CH-10002647"/>
    <x v="0"/>
    <x v="1"/>
    <s v="Situations Contoured Folding Chairs, 4/Set"/>
    <n v="63.881999999999998"/>
    <n v="1"/>
    <n v="10.647"/>
    <x v="3"/>
    <x v="3"/>
  </r>
  <r>
    <s v="CA-2014-159310"/>
    <x v="592"/>
    <d v="2014-11-12T00:00:00"/>
    <x v="1"/>
    <s v="SC-20725"/>
    <s v="Steven Cartwright"/>
    <x v="0"/>
    <s v="United States"/>
    <x v="6"/>
    <x v="5"/>
    <x v="3"/>
    <s v="FUR-CH-10002758"/>
    <x v="0"/>
    <x v="1"/>
    <s v="Hon Deluxe Fabric Upholstered Stacking Chairs, Squared Back"/>
    <n v="683.14400000000001"/>
    <n v="4"/>
    <n v="0"/>
    <x v="2"/>
    <x v="0"/>
  </r>
  <r>
    <s v="CA-2015-104346"/>
    <x v="593"/>
    <d v="2015-12-16T00:00:00"/>
    <x v="1"/>
    <s v="IM-15070"/>
    <s v="Irene Maddox"/>
    <x v="0"/>
    <s v="United States"/>
    <x v="30"/>
    <x v="12"/>
    <x v="1"/>
    <s v="FUR-BO-10003450"/>
    <x v="0"/>
    <x v="0"/>
    <s v="Bush Westfield Collection Bookcases, Dark Cherry Finish"/>
    <n v="69.575999999999993"/>
    <n v="4"/>
    <n v="-143.79040000000001"/>
    <x v="2"/>
    <x v="5"/>
  </r>
  <r>
    <s v="CA-2015-104346"/>
    <x v="593"/>
    <d v="2015-12-16T00:00:00"/>
    <x v="1"/>
    <s v="IM-15070"/>
    <s v="Irene Maddox"/>
    <x v="0"/>
    <s v="United States"/>
    <x v="30"/>
    <x v="12"/>
    <x v="1"/>
    <s v="FUR-FU-10002456"/>
    <x v="0"/>
    <x v="3"/>
    <s v="Master Caster Door Stop, Large Neon Orange"/>
    <n v="52.415999999999997"/>
    <n v="9"/>
    <n v="15.069599999999999"/>
    <x v="2"/>
    <x v="5"/>
  </r>
  <r>
    <s v="CA-2015-104346"/>
    <x v="593"/>
    <d v="2015-12-16T00:00:00"/>
    <x v="1"/>
    <s v="IM-15070"/>
    <s v="Irene Maddox"/>
    <x v="0"/>
    <s v="United States"/>
    <x v="30"/>
    <x v="12"/>
    <x v="1"/>
    <s v="FUR-FU-10001473"/>
    <x v="0"/>
    <x v="3"/>
    <s v="DAX Wood Document Frame"/>
    <n v="54.92"/>
    <n v="5"/>
    <n v="10.984"/>
    <x v="2"/>
    <x v="5"/>
  </r>
  <r>
    <s v="CA-2015-104346"/>
    <x v="593"/>
    <d v="2015-12-16T00:00:00"/>
    <x v="1"/>
    <s v="IM-15070"/>
    <s v="Irene Maddox"/>
    <x v="0"/>
    <s v="United States"/>
    <x v="30"/>
    <x v="12"/>
    <x v="1"/>
    <s v="FUR-TA-10000849"/>
    <x v="0"/>
    <x v="2"/>
    <s v="Bevis Rectangular Conference Tables"/>
    <n v="364.95"/>
    <n v="5"/>
    <n v="-248.166"/>
    <x v="2"/>
    <x v="5"/>
  </r>
  <r>
    <s v="CA-2015-144722"/>
    <x v="253"/>
    <d v="2015-03-23T00:00:00"/>
    <x v="1"/>
    <s v="MF-18250"/>
    <s v="Monica Federle"/>
    <x v="1"/>
    <s v="United States"/>
    <x v="2"/>
    <x v="2"/>
    <x v="1"/>
    <s v="FUR-FU-10001215"/>
    <x v="0"/>
    <x v="3"/>
    <s v="Howard Miller 11-1/2&quot; Diameter Brentwood Wall Clock"/>
    <n v="43.13"/>
    <n v="1"/>
    <n v="18.114599999999999"/>
    <x v="1"/>
    <x v="9"/>
  </r>
  <r>
    <s v="US-2016-148901"/>
    <x v="326"/>
    <d v="2016-05-19T00:00:00"/>
    <x v="1"/>
    <s v="MK-17905"/>
    <s v="Michael Kennedy"/>
    <x v="1"/>
    <s v="United States"/>
    <x v="51"/>
    <x v="1"/>
    <x v="0"/>
    <s v="FUR-FU-10002396"/>
    <x v="0"/>
    <x v="3"/>
    <s v="DAX Copper Panel Document Frame, 5 x 7 Size"/>
    <n v="30.192"/>
    <n v="3"/>
    <n v="8.3027999999999995"/>
    <x v="2"/>
    <x v="7"/>
  </r>
  <r>
    <s v="CA-2017-136364"/>
    <x v="594"/>
    <d v="2017-07-17T00:00:00"/>
    <x v="0"/>
    <s v="MH-17455"/>
    <s v="Mark Hamilton"/>
    <x v="0"/>
    <s v="United States"/>
    <x v="3"/>
    <x v="3"/>
    <x v="2"/>
    <s v="FUR-FU-10002501"/>
    <x v="0"/>
    <x v="3"/>
    <s v="Nu-Dell Executive Frame"/>
    <n v="91.007999999999996"/>
    <n v="9"/>
    <n v="19.339200000000002"/>
    <x v="4"/>
    <x v="3"/>
  </r>
  <r>
    <s v="CA-2016-121370"/>
    <x v="566"/>
    <d v="2016-11-19T00:00:00"/>
    <x v="0"/>
    <s v="EB-14110"/>
    <s v="Eugene Barchas"/>
    <x v="0"/>
    <s v="United States"/>
    <x v="3"/>
    <x v="3"/>
    <x v="2"/>
    <s v="FUR-CH-10000785"/>
    <x v="0"/>
    <x v="1"/>
    <s v="Global Ergonomic Managers Chair"/>
    <n v="380.05799999999999"/>
    <n v="3"/>
    <n v="-21.717600000000001"/>
    <x v="2"/>
    <x v="0"/>
  </r>
  <r>
    <s v="CA-2016-121370"/>
    <x v="566"/>
    <d v="2016-11-19T00:00:00"/>
    <x v="0"/>
    <s v="EB-14110"/>
    <s v="Eugene Barchas"/>
    <x v="0"/>
    <s v="United States"/>
    <x v="3"/>
    <x v="3"/>
    <x v="2"/>
    <s v="FUR-FU-10002813"/>
    <x v="0"/>
    <x v="3"/>
    <s v="DAX Contemporary Wood Frame with Silver Metal Mat, Desktop, 11 x 14 Size"/>
    <n v="48.576000000000001"/>
    <n v="3"/>
    <n v="9.7151999999999994"/>
    <x v="2"/>
    <x v="0"/>
  </r>
  <r>
    <s v="CA-2016-140018"/>
    <x v="431"/>
    <d v="2016-11-26T00:00:00"/>
    <x v="1"/>
    <s v="CK-12205"/>
    <s v="Chloris Kastensmidt"/>
    <x v="0"/>
    <s v="United States"/>
    <x v="29"/>
    <x v="15"/>
    <x v="2"/>
    <s v="FUR-CH-10003817"/>
    <x v="0"/>
    <x v="1"/>
    <s v="Global Value Steno Chair, Gray"/>
    <n v="127.554"/>
    <n v="3"/>
    <n v="-9.1110000000000007"/>
    <x v="2"/>
    <x v="0"/>
  </r>
  <r>
    <s v="CA-2016-140018"/>
    <x v="431"/>
    <d v="2016-11-26T00:00:00"/>
    <x v="1"/>
    <s v="CK-12205"/>
    <s v="Chloris Kastensmidt"/>
    <x v="0"/>
    <s v="United States"/>
    <x v="29"/>
    <x v="15"/>
    <x v="2"/>
    <s v="FUR-FU-10001876"/>
    <x v="0"/>
    <x v="3"/>
    <s v="Computer Room Manger, 14&quot;"/>
    <n v="77.951999999999998"/>
    <n v="3"/>
    <n v="15.590400000000001"/>
    <x v="2"/>
    <x v="0"/>
  </r>
  <r>
    <s v="CA-2017-154123"/>
    <x v="93"/>
    <d v="2017-11-25T00:00:00"/>
    <x v="1"/>
    <s v="SC-20050"/>
    <s v="Sample Company A"/>
    <x v="2"/>
    <s v="United States"/>
    <x v="0"/>
    <x v="0"/>
    <x v="0"/>
    <s v="FUR-FU-10000629"/>
    <x v="0"/>
    <x v="3"/>
    <s v="9-3/4 Diameter Round Wall Clock"/>
    <n v="27.58"/>
    <n v="2"/>
    <n v="11.583600000000001"/>
    <x v="2"/>
    <x v="0"/>
  </r>
  <r>
    <s v="CA-2014-107818"/>
    <x v="30"/>
    <d v="2014-09-14T00:00:00"/>
    <x v="1"/>
    <s v="MC-17275"/>
    <s v="Marc Crier"/>
    <x v="0"/>
    <s v="United States"/>
    <x v="253"/>
    <x v="13"/>
    <x v="1"/>
    <s v="FUR-CH-10000454"/>
    <x v="0"/>
    <x v="1"/>
    <s v="Hon Deluxe Fabric Upholstered Stacking Chairs, Rounded Back"/>
    <n v="975.92"/>
    <n v="5"/>
    <n v="121.99"/>
    <x v="6"/>
    <x v="4"/>
  </r>
  <r>
    <s v="CA-2014-113320"/>
    <x v="202"/>
    <d v="2014-12-15T00:00:00"/>
    <x v="0"/>
    <s v="LH-17155"/>
    <s v="Logan Haushalter"/>
    <x v="0"/>
    <s v="United States"/>
    <x v="121"/>
    <x v="2"/>
    <x v="1"/>
    <s v="FUR-FU-10004270"/>
    <x v="0"/>
    <x v="3"/>
    <s v="Eldon Image Series Desk Accessories, Burgundy"/>
    <n v="12.54"/>
    <n v="3"/>
    <n v="4.5144000000000002"/>
    <x v="0"/>
    <x v="5"/>
  </r>
  <r>
    <s v="CA-2014-113320"/>
    <x v="202"/>
    <d v="2014-12-15T00:00:00"/>
    <x v="0"/>
    <s v="LH-17155"/>
    <s v="Logan Haushalter"/>
    <x v="0"/>
    <s v="United States"/>
    <x v="121"/>
    <x v="2"/>
    <x v="1"/>
    <s v="FUR-FU-10001706"/>
    <x v="0"/>
    <x v="3"/>
    <s v="Longer-Life Soft White Bulbs"/>
    <n v="9.24"/>
    <n v="3"/>
    <n v="4.4352"/>
    <x v="0"/>
    <x v="5"/>
  </r>
  <r>
    <s v="CA-2015-137526"/>
    <x v="595"/>
    <d v="2015-01-17T00:00:00"/>
    <x v="1"/>
    <s v="PB-19150"/>
    <s v="Philip Brown"/>
    <x v="0"/>
    <s v="United States"/>
    <x v="2"/>
    <x v="2"/>
    <x v="1"/>
    <s v="FUR-FU-10001861"/>
    <x v="0"/>
    <x v="3"/>
    <s v="Floodlight Indoor Halogen Bulbs, 1 Bulb per Pack, 60 Watts"/>
    <n v="77.599999999999994"/>
    <n v="4"/>
    <n v="38.024000000000001"/>
    <x v="4"/>
    <x v="8"/>
  </r>
  <r>
    <s v="CA-2015-137526"/>
    <x v="595"/>
    <d v="2015-01-17T00:00:00"/>
    <x v="1"/>
    <s v="PB-19150"/>
    <s v="Philip Brown"/>
    <x v="0"/>
    <s v="United States"/>
    <x v="2"/>
    <x v="2"/>
    <x v="1"/>
    <s v="FUR-FU-10004845"/>
    <x v="0"/>
    <x v="3"/>
    <s v="Deflect-o EconoMat Nonstudded, No Bevel Mat"/>
    <n v="464.85"/>
    <n v="9"/>
    <n v="92.97"/>
    <x v="4"/>
    <x v="8"/>
  </r>
  <r>
    <s v="CA-2017-122490"/>
    <x v="596"/>
    <d v="2017-11-18T00:00:00"/>
    <x v="1"/>
    <s v="TT-21070"/>
    <s v="Ted Trevino"/>
    <x v="0"/>
    <s v="United States"/>
    <x v="15"/>
    <x v="13"/>
    <x v="1"/>
    <s v="FUR-CH-10001215"/>
    <x v="0"/>
    <x v="1"/>
    <s v="Global Troy Executive Leather Low-Back Tilter"/>
    <n v="2404.7040000000002"/>
    <n v="6"/>
    <n v="150.29400000000001"/>
    <x v="2"/>
    <x v="0"/>
  </r>
  <r>
    <s v="CA-2017-143567"/>
    <x v="575"/>
    <d v="2017-11-05T00:00:00"/>
    <x v="0"/>
    <s v="TB-21175"/>
    <s v="Thomas Boland"/>
    <x v="1"/>
    <s v="United States"/>
    <x v="0"/>
    <x v="0"/>
    <x v="0"/>
    <s v="FUR-CH-10000454"/>
    <x v="0"/>
    <x v="1"/>
    <s v="Hon Deluxe Fabric Upholstered Stacking Chairs, Rounded Back"/>
    <n v="975.92"/>
    <n v="4"/>
    <n v="292.77600000000001"/>
    <x v="0"/>
    <x v="0"/>
  </r>
  <r>
    <s v="CA-2016-163167"/>
    <x v="597"/>
    <d v="2016-12-01T00:00:00"/>
    <x v="0"/>
    <s v="RF-19345"/>
    <s v="Randy Ferguson"/>
    <x v="1"/>
    <s v="United States"/>
    <x v="254"/>
    <x v="24"/>
    <x v="0"/>
    <s v="FUR-CH-10004477"/>
    <x v="0"/>
    <x v="1"/>
    <s v="Global Push Button Manager's Chair, Indigo"/>
    <n v="182.67"/>
    <n v="3"/>
    <n v="52.974299999999999"/>
    <x v="0"/>
    <x v="0"/>
  </r>
  <r>
    <s v="US-2014-122021"/>
    <x v="384"/>
    <d v="2014-10-17T00:00:00"/>
    <x v="2"/>
    <s v="AC-10660"/>
    <s v="Anna Chung"/>
    <x v="0"/>
    <s v="United States"/>
    <x v="255"/>
    <x v="15"/>
    <x v="2"/>
    <s v="FUR-CH-10003761"/>
    <x v="0"/>
    <x v="1"/>
    <s v="Global Italian Leather Office Chair"/>
    <n v="183.37200000000001"/>
    <n v="2"/>
    <n v="-7.8587999999999996"/>
    <x v="3"/>
    <x v="1"/>
  </r>
  <r>
    <s v="US-2014-161613"/>
    <x v="280"/>
    <d v="2014-12-03T00:00:00"/>
    <x v="0"/>
    <s v="MC-17605"/>
    <s v="Matt Connell"/>
    <x v="1"/>
    <s v="United States"/>
    <x v="6"/>
    <x v="5"/>
    <x v="3"/>
    <s v="FUR-CH-10003746"/>
    <x v="0"/>
    <x v="1"/>
    <s v="Hon 4070 Series Pagoda Round Back Stacking Chairs"/>
    <n v="674.05799999999999"/>
    <n v="3"/>
    <n v="-19.258800000000001"/>
    <x v="3"/>
    <x v="5"/>
  </r>
  <r>
    <s v="CA-2017-163125"/>
    <x v="224"/>
    <d v="2017-10-11T00:00:00"/>
    <x v="0"/>
    <s v="MB-17305"/>
    <s v="Maria Bertelson"/>
    <x v="0"/>
    <s v="United States"/>
    <x v="256"/>
    <x v="5"/>
    <x v="3"/>
    <s v="FUR-CH-10001802"/>
    <x v="0"/>
    <x v="1"/>
    <s v="Hon Every-Day Chair Series Swivel Task Chairs"/>
    <n v="254.05799999999999"/>
    <n v="3"/>
    <n v="-32.6646"/>
    <x v="3"/>
    <x v="1"/>
  </r>
  <r>
    <s v="CA-2016-160304"/>
    <x v="598"/>
    <d v="2016-01-07T00:00:00"/>
    <x v="1"/>
    <s v="BM-11575"/>
    <s v="Brendan Murry"/>
    <x v="1"/>
    <s v="United States"/>
    <x v="257"/>
    <x v="32"/>
    <x v="2"/>
    <s v="FUR-BO-10004709"/>
    <x v="0"/>
    <x v="0"/>
    <s v="Bush Westfield Collection Bookcases, Medium Cherry Finish"/>
    <n v="173.94"/>
    <n v="3"/>
    <n v="38.266800000000003"/>
    <x v="2"/>
    <x v="8"/>
  </r>
  <r>
    <s v="CA-2017-117653"/>
    <x v="66"/>
    <d v="2017-10-23T00:00:00"/>
    <x v="1"/>
    <s v="MO-17500"/>
    <s v="Mary O'Rourke"/>
    <x v="0"/>
    <s v="United States"/>
    <x v="9"/>
    <x v="8"/>
    <x v="3"/>
    <s v="FUR-TA-10003008"/>
    <x v="0"/>
    <x v="2"/>
    <s v="Lesro Round Back Collection Coffee Table, End Table"/>
    <n v="91.275000000000006"/>
    <n v="1"/>
    <n v="-67.543499999999995"/>
    <x v="4"/>
    <x v="1"/>
  </r>
  <r>
    <s v="CA-2017-143245"/>
    <x v="451"/>
    <d v="2017-12-06T00:00:00"/>
    <x v="1"/>
    <s v="AD-10180"/>
    <s v="Alan Dominguez"/>
    <x v="2"/>
    <s v="United States"/>
    <x v="130"/>
    <x v="19"/>
    <x v="2"/>
    <s v="FUR-CH-10000155"/>
    <x v="0"/>
    <x v="1"/>
    <s v="Global Comet Stacking Armless Chair"/>
    <n v="897.15"/>
    <n v="3"/>
    <n v="251.202"/>
    <x v="2"/>
    <x v="5"/>
  </r>
  <r>
    <s v="CA-2014-157147"/>
    <x v="424"/>
    <d v="2014-01-18T00:00:00"/>
    <x v="1"/>
    <s v="BD-11605"/>
    <s v="Brian Dahlen"/>
    <x v="0"/>
    <s v="United States"/>
    <x v="28"/>
    <x v="2"/>
    <x v="1"/>
    <s v="FUR-BO-10003034"/>
    <x v="0"/>
    <x v="0"/>
    <s v="O'Sullivan Elevations Bookcase, Cherry Finish"/>
    <n v="333.99900000000002"/>
    <n v="3"/>
    <n v="3.9293999999999998"/>
    <x v="2"/>
    <x v="8"/>
  </r>
  <r>
    <s v="CA-2015-156482"/>
    <x v="599"/>
    <d v="2015-02-13T00:00:00"/>
    <x v="1"/>
    <s v="IL-15100"/>
    <s v="Ivan Liston"/>
    <x v="0"/>
    <s v="United States"/>
    <x v="16"/>
    <x v="14"/>
    <x v="2"/>
    <s v="FUR-CH-10001708"/>
    <x v="0"/>
    <x v="1"/>
    <s v="Office Star - Contemporary Swivel Chair with Padded Adjustable Arms and Flex Back"/>
    <n v="1268.82"/>
    <n v="9"/>
    <n v="266.4522"/>
    <x v="1"/>
    <x v="11"/>
  </r>
  <r>
    <s v="CA-2015-156482"/>
    <x v="599"/>
    <d v="2015-02-13T00:00:00"/>
    <x v="1"/>
    <s v="IL-15100"/>
    <s v="Ivan Liston"/>
    <x v="0"/>
    <s v="United States"/>
    <x v="16"/>
    <x v="14"/>
    <x v="2"/>
    <s v="FUR-BO-10002598"/>
    <x v="0"/>
    <x v="0"/>
    <s v="Hon Metal Bookcases, Putty"/>
    <n v="283.92"/>
    <n v="4"/>
    <n v="82.336799999999997"/>
    <x v="1"/>
    <x v="11"/>
  </r>
  <r>
    <s v="CA-2017-107125"/>
    <x v="152"/>
    <d v="2017-12-02T00:00:00"/>
    <x v="1"/>
    <s v="BD-11320"/>
    <s v="Bill Donatelli"/>
    <x v="0"/>
    <s v="United States"/>
    <x v="2"/>
    <x v="2"/>
    <x v="1"/>
    <s v="FUR-FU-10000732"/>
    <x v="0"/>
    <x v="3"/>
    <s v="Eldon 200 Class Desk Accessories"/>
    <n v="18.84"/>
    <n v="3"/>
    <n v="6.0288000000000004"/>
    <x v="2"/>
    <x v="0"/>
  </r>
  <r>
    <s v="CA-2014-160262"/>
    <x v="2"/>
    <d v="2014-06-13T00:00:00"/>
    <x v="0"/>
    <s v="TS-21205"/>
    <s v="Thomas Seio"/>
    <x v="1"/>
    <s v="United States"/>
    <x v="111"/>
    <x v="34"/>
    <x v="1"/>
    <s v="FUR-FU-10002685"/>
    <x v="0"/>
    <x v="3"/>
    <s v="Executive Impressions 13-1/2&quot; Indoor/Outdoor Wall Clock"/>
    <n v="37.4"/>
    <n v="2"/>
    <n v="14.212"/>
    <x v="4"/>
    <x v="2"/>
  </r>
  <r>
    <s v="CA-2014-156587"/>
    <x v="600"/>
    <d v="2014-03-08T00:00:00"/>
    <x v="2"/>
    <s v="AB-10015"/>
    <s v="Aaron Bergman"/>
    <x v="0"/>
    <s v="United States"/>
    <x v="15"/>
    <x v="13"/>
    <x v="1"/>
    <s v="FUR-CH-10004477"/>
    <x v="0"/>
    <x v="1"/>
    <s v="Global Push Button Manager's Chair, Indigo"/>
    <n v="48.712000000000003"/>
    <n v="1"/>
    <n v="5.4801000000000002"/>
    <x v="5"/>
    <x v="9"/>
  </r>
  <r>
    <s v="CA-2015-122406"/>
    <x v="601"/>
    <d v="2015-08-05T00:00:00"/>
    <x v="0"/>
    <s v="BE-11455"/>
    <s v="Brad Eason"/>
    <x v="2"/>
    <s v="United States"/>
    <x v="134"/>
    <x v="38"/>
    <x v="2"/>
    <s v="FUR-CH-10001973"/>
    <x v="0"/>
    <x v="1"/>
    <s v="Office Star Flex Back Scooter Chair with White Frame"/>
    <n v="110.98"/>
    <n v="1"/>
    <n v="15.5372"/>
    <x v="0"/>
    <x v="10"/>
  </r>
  <r>
    <s v="US-2016-153815"/>
    <x v="24"/>
    <d v="2016-11-09T00:00:00"/>
    <x v="2"/>
    <s v="KL-16555"/>
    <s v="Kelly Lampkin"/>
    <x v="1"/>
    <s v="United States"/>
    <x v="51"/>
    <x v="1"/>
    <x v="0"/>
    <s v="FUR-CH-10000513"/>
    <x v="0"/>
    <x v="1"/>
    <s v="High-Back Leather Manager's Chair"/>
    <n v="207.98400000000001"/>
    <n v="2"/>
    <n v="-28.597799999999999"/>
    <x v="0"/>
    <x v="0"/>
  </r>
  <r>
    <s v="US-2016-153815"/>
    <x v="24"/>
    <d v="2016-11-09T00:00:00"/>
    <x v="2"/>
    <s v="KL-16555"/>
    <s v="Kelly Lampkin"/>
    <x v="1"/>
    <s v="United States"/>
    <x v="51"/>
    <x v="1"/>
    <x v="0"/>
    <s v="FUR-FU-10004090"/>
    <x v="0"/>
    <x v="3"/>
    <s v="Executive Impressions 14&quot; Contract Wall Clock"/>
    <n v="35.567999999999998"/>
    <n v="2"/>
    <n v="5.7797999999999998"/>
    <x v="0"/>
    <x v="0"/>
  </r>
  <r>
    <s v="CA-2016-149279"/>
    <x v="602"/>
    <d v="2016-04-28T00:00:00"/>
    <x v="1"/>
    <s v="CL-12700"/>
    <s v="Craig Leslie"/>
    <x v="2"/>
    <s v="United States"/>
    <x v="30"/>
    <x v="12"/>
    <x v="1"/>
    <s v="FUR-CH-10004287"/>
    <x v="0"/>
    <x v="1"/>
    <s v="SAFCO Arco Folding Chair"/>
    <n v="1325.76"/>
    <n v="6"/>
    <n v="149.148"/>
    <x v="4"/>
    <x v="6"/>
  </r>
  <r>
    <s v="CA-2015-153038"/>
    <x v="603"/>
    <d v="2015-12-25T00:00:00"/>
    <x v="1"/>
    <s v="RB-19645"/>
    <s v="Robert Barroso"/>
    <x v="1"/>
    <s v="United States"/>
    <x v="10"/>
    <x v="9"/>
    <x v="0"/>
    <s v="FUR-FU-10000221"/>
    <x v="0"/>
    <x v="3"/>
    <s v="Master Caster Door Stop, Brown"/>
    <n v="20.32"/>
    <n v="5"/>
    <n v="3.556"/>
    <x v="1"/>
    <x v="5"/>
  </r>
  <r>
    <s v="US-2017-139647"/>
    <x v="585"/>
    <d v="2017-05-13T00:00:00"/>
    <x v="2"/>
    <s v="TS-21370"/>
    <s v="Todd Sumrall"/>
    <x v="1"/>
    <s v="United States"/>
    <x v="43"/>
    <x v="22"/>
    <x v="1"/>
    <s v="FUR-BO-10004467"/>
    <x v="0"/>
    <x v="0"/>
    <s v="Bestar Classic Bookcase"/>
    <n v="209.97900000000001"/>
    <n v="7"/>
    <n v="-356.96429999999998"/>
    <x v="3"/>
    <x v="7"/>
  </r>
  <r>
    <s v="CA-2014-153850"/>
    <x v="168"/>
    <d v="2014-11-29T00:00:00"/>
    <x v="1"/>
    <s v="TH-21100"/>
    <s v="Thea Hendricks"/>
    <x v="0"/>
    <s v="United States"/>
    <x v="219"/>
    <x v="15"/>
    <x v="2"/>
    <s v="FUR-FU-10002960"/>
    <x v="0"/>
    <x v="3"/>
    <s v="Eldon 200 Class Desk Accessories, Burgundy"/>
    <n v="35.167999999999999"/>
    <n v="7"/>
    <n v="9.6712000000000007"/>
    <x v="2"/>
    <x v="0"/>
  </r>
  <r>
    <s v="CA-2014-127558"/>
    <x v="604"/>
    <d v="2014-11-18T00:00:00"/>
    <x v="2"/>
    <s v="SS-20410"/>
    <s v="Shahid Shariari"/>
    <x v="0"/>
    <s v="United States"/>
    <x v="2"/>
    <x v="2"/>
    <x v="1"/>
    <s v="FUR-FU-10002505"/>
    <x v="0"/>
    <x v="3"/>
    <s v="Eldon 100 Class Desk Accessories"/>
    <n v="10.11"/>
    <n v="3"/>
    <n v="3.2351999999999999"/>
    <x v="0"/>
    <x v="0"/>
  </r>
  <r>
    <s v="CA-2016-133795"/>
    <x v="105"/>
    <d v="2016-12-24T00:00:00"/>
    <x v="1"/>
    <s v="JE-15475"/>
    <s v="Jeremy Ellison"/>
    <x v="0"/>
    <s v="United States"/>
    <x v="53"/>
    <x v="2"/>
    <x v="1"/>
    <s v="FUR-FU-10003731"/>
    <x v="0"/>
    <x v="3"/>
    <s v="Eldon Expressions Wood and Plastic Desk Accessories, Oak"/>
    <n v="39.92"/>
    <n v="4"/>
    <n v="11.1776"/>
    <x v="6"/>
    <x v="5"/>
  </r>
  <r>
    <s v="US-2017-130953"/>
    <x v="605"/>
    <d v="2017-08-03T00:00:00"/>
    <x v="1"/>
    <s v="RF-19735"/>
    <s v="Roland Fjeld"/>
    <x v="0"/>
    <s v="United States"/>
    <x v="258"/>
    <x v="37"/>
    <x v="3"/>
    <s v="FUR-CH-10004626"/>
    <x v="0"/>
    <x v="1"/>
    <s v="Office Star Flex Back Scooter Chair with Aluminum Finish Frame"/>
    <n v="302.67"/>
    <n v="3"/>
    <n v="72.640799999999999"/>
    <x v="2"/>
    <x v="3"/>
  </r>
  <r>
    <s v="CA-2016-155166"/>
    <x v="576"/>
    <d v="2017-01-02T00:00:00"/>
    <x v="1"/>
    <s v="BB-11545"/>
    <s v="Brenda Bowman"/>
    <x v="1"/>
    <s v="United States"/>
    <x v="109"/>
    <x v="18"/>
    <x v="2"/>
    <s v="FUR-CH-10003968"/>
    <x v="0"/>
    <x v="1"/>
    <s v="Novimex Turbo Task Chair"/>
    <n v="212.94"/>
    <n v="3"/>
    <n v="25.552800000000001"/>
    <x v="1"/>
    <x v="5"/>
  </r>
  <r>
    <s v="CA-2015-103954"/>
    <x v="38"/>
    <d v="2015-08-13T00:00:00"/>
    <x v="0"/>
    <s v="HR-14770"/>
    <s v="Hallie Redmond"/>
    <x v="2"/>
    <s v="United States"/>
    <x v="79"/>
    <x v="16"/>
    <x v="3"/>
    <s v="FUR-BO-10004690"/>
    <x v="0"/>
    <x v="0"/>
    <s v="O'Sullivan Cherrywood Estates Traditional Barrister Bookcase"/>
    <n v="687.4"/>
    <n v="5"/>
    <n v="48.118000000000002"/>
    <x v="4"/>
    <x v="10"/>
  </r>
  <r>
    <s v="CA-2014-169803"/>
    <x v="226"/>
    <d v="2014-04-12T00:00:00"/>
    <x v="1"/>
    <s v="SC-20260"/>
    <s v="Scott Cohen"/>
    <x v="1"/>
    <s v="United States"/>
    <x v="15"/>
    <x v="13"/>
    <x v="1"/>
    <s v="FUR-TA-10000688"/>
    <x v="0"/>
    <x v="2"/>
    <s v="Chromcraft Bull-Nose Wood Round Conference Table Top, Wood Base"/>
    <n v="653.54999999999995"/>
    <n v="3"/>
    <n v="111.1035"/>
    <x v="6"/>
    <x v="6"/>
  </r>
  <r>
    <s v="CA-2015-136469"/>
    <x v="312"/>
    <d v="2015-07-12T00:00:00"/>
    <x v="2"/>
    <s v="TS-21370"/>
    <s v="Todd Sumrall"/>
    <x v="1"/>
    <s v="United States"/>
    <x v="16"/>
    <x v="14"/>
    <x v="2"/>
    <s v="FUR-TA-10001520"/>
    <x v="0"/>
    <x v="2"/>
    <s v="Lesro Sheffield Collection Coffee Table, End Table, Center Table, Corner Table"/>
    <n v="199.83600000000001"/>
    <n v="4"/>
    <n v="-37.112400000000001"/>
    <x v="5"/>
    <x v="3"/>
  </r>
  <r>
    <s v="CA-2016-158694"/>
    <x v="480"/>
    <d v="2016-11-13T00:00:00"/>
    <x v="0"/>
    <s v="AI-10855"/>
    <s v="Arianne Irving"/>
    <x v="0"/>
    <s v="United States"/>
    <x v="2"/>
    <x v="2"/>
    <x v="1"/>
    <s v="FUR-FU-10000965"/>
    <x v="0"/>
    <x v="3"/>
    <s v="Howard Miller 11-1/2&quot; Diameter Ridgewood Wall Clock"/>
    <n v="467.46"/>
    <n v="9"/>
    <n v="191.65860000000001"/>
    <x v="0"/>
    <x v="0"/>
  </r>
  <r>
    <s v="CA-2015-141243"/>
    <x v="606"/>
    <d v="2015-01-08T00:00:00"/>
    <x v="0"/>
    <s v="AH-10465"/>
    <s v="Amy Hunt"/>
    <x v="0"/>
    <s v="United States"/>
    <x v="144"/>
    <x v="5"/>
    <x v="3"/>
    <s v="FUR-BO-10003272"/>
    <x v="0"/>
    <x v="0"/>
    <s v="O'Sullivan Living Dimensions 5-Shelf Bookcases"/>
    <n v="1352.3976"/>
    <n v="9"/>
    <n v="-437.54039999999998"/>
    <x v="2"/>
    <x v="8"/>
  </r>
  <r>
    <s v="CA-2015-136798"/>
    <x v="190"/>
    <d v="2015-05-12T00:00:00"/>
    <x v="1"/>
    <s v="DL-12925"/>
    <s v="Daniel Lacy"/>
    <x v="0"/>
    <s v="United States"/>
    <x v="12"/>
    <x v="11"/>
    <x v="3"/>
    <s v="FUR-FU-10000723"/>
    <x v="0"/>
    <x v="3"/>
    <s v="Deflect-o EconoMat Studded, No Bevel Mat for Low Pile Carpeting"/>
    <n v="123.96"/>
    <n v="3"/>
    <n v="11.1564"/>
    <x v="4"/>
    <x v="7"/>
  </r>
  <r>
    <s v="CA-2017-142090"/>
    <x v="147"/>
    <d v="2017-12-07T00:00:00"/>
    <x v="1"/>
    <s v="SC-20380"/>
    <s v="Shahid Collister"/>
    <x v="0"/>
    <s v="United States"/>
    <x v="259"/>
    <x v="30"/>
    <x v="0"/>
    <s v="FUR-TA-10001889"/>
    <x v="0"/>
    <x v="2"/>
    <s v="Bush Advantage Collection Racetrack Conference Table"/>
    <n v="1781.682"/>
    <n v="7"/>
    <n v="-653.28340000000003"/>
    <x v="1"/>
    <x v="0"/>
  </r>
  <r>
    <s v="CA-2014-124478"/>
    <x v="98"/>
    <d v="2014-08-12T00:00:00"/>
    <x v="1"/>
    <s v="MA-17560"/>
    <s v="Matt Abelman"/>
    <x v="2"/>
    <s v="United States"/>
    <x v="65"/>
    <x v="17"/>
    <x v="3"/>
    <s v="FUR-FU-10002088"/>
    <x v="0"/>
    <x v="3"/>
    <s v="Nu-Dell Float Frame 11 x 14 1/2"/>
    <n v="53.88"/>
    <n v="6"/>
    <n v="22.6296"/>
    <x v="4"/>
    <x v="10"/>
  </r>
  <r>
    <s v="CA-2014-134572"/>
    <x v="607"/>
    <d v="2014-04-22T00:00:00"/>
    <x v="0"/>
    <s v="SV-20365"/>
    <s v="Seth Vernon"/>
    <x v="0"/>
    <s v="United States"/>
    <x v="6"/>
    <x v="5"/>
    <x v="3"/>
    <s v="FUR-TA-10001705"/>
    <x v="0"/>
    <x v="2"/>
    <s v="Bush Advantage Collection Round Conference Table"/>
    <n v="744.1"/>
    <n v="5"/>
    <n v="-95.67"/>
    <x v="3"/>
    <x v="6"/>
  </r>
  <r>
    <s v="CA-2014-134572"/>
    <x v="607"/>
    <d v="2014-04-22T00:00:00"/>
    <x v="0"/>
    <s v="SV-20365"/>
    <s v="Seth Vernon"/>
    <x v="0"/>
    <s v="United States"/>
    <x v="6"/>
    <x v="5"/>
    <x v="3"/>
    <s v="FUR-TA-10004442"/>
    <x v="0"/>
    <x v="2"/>
    <s v="Riverside Furniture Stanwyck Manor Table Series"/>
    <n v="401.59"/>
    <n v="2"/>
    <n v="-131.95099999999999"/>
    <x v="3"/>
    <x v="6"/>
  </r>
  <r>
    <s v="US-2017-133312"/>
    <x v="608"/>
    <d v="2017-11-29T00:00:00"/>
    <x v="1"/>
    <s v="BD-11500"/>
    <s v="Bradley Drucker"/>
    <x v="0"/>
    <s v="United States"/>
    <x v="28"/>
    <x v="2"/>
    <x v="1"/>
    <s v="FUR-BO-10002213"/>
    <x v="0"/>
    <x v="0"/>
    <s v="Sauder Forest Hills Library, Woodland Oak Finish"/>
    <n v="359.49900000000002"/>
    <n v="3"/>
    <n v="-29.605799999999999"/>
    <x v="4"/>
    <x v="0"/>
  </r>
  <r>
    <s v="US-2014-140452"/>
    <x v="387"/>
    <d v="2014-12-10T00:00:00"/>
    <x v="1"/>
    <s v="BK-11260"/>
    <s v="Berenike Kampe"/>
    <x v="0"/>
    <s v="United States"/>
    <x v="9"/>
    <x v="8"/>
    <x v="3"/>
    <s v="FUR-TA-10004086"/>
    <x v="0"/>
    <x v="2"/>
    <s v="KI Adjustable-Height Table"/>
    <n v="214.95"/>
    <n v="5"/>
    <n v="-120.372"/>
    <x v="4"/>
    <x v="5"/>
  </r>
  <r>
    <s v="US-2014-140452"/>
    <x v="387"/>
    <d v="2014-12-10T00:00:00"/>
    <x v="1"/>
    <s v="BK-11260"/>
    <s v="Berenike Kampe"/>
    <x v="0"/>
    <s v="United States"/>
    <x v="9"/>
    <x v="8"/>
    <x v="3"/>
    <s v="FUR-FU-10002088"/>
    <x v="0"/>
    <x v="3"/>
    <s v="Nu-Dell Float Frame 11 x 14 1/2"/>
    <n v="10.776"/>
    <n v="3"/>
    <n v="-4.8491999999999997"/>
    <x v="4"/>
    <x v="5"/>
  </r>
  <r>
    <s v="CA-2014-116568"/>
    <x v="609"/>
    <d v="2014-12-20T00:00:00"/>
    <x v="1"/>
    <s v="BM-11785"/>
    <s v="Bryan Mills"/>
    <x v="0"/>
    <s v="United States"/>
    <x v="260"/>
    <x v="1"/>
    <x v="0"/>
    <s v="FUR-CH-10002439"/>
    <x v="0"/>
    <x v="1"/>
    <s v="Iceberg Nesting Folding Chair, 19w x 6d x 43h"/>
    <n v="186.304"/>
    <n v="4"/>
    <n v="13.972799999999999"/>
    <x v="6"/>
    <x v="5"/>
  </r>
  <r>
    <s v="CA-2015-153073"/>
    <x v="18"/>
    <d v="2015-11-13T00:00:00"/>
    <x v="3"/>
    <s v="HA-14905"/>
    <s v="Helen Abelman"/>
    <x v="0"/>
    <s v="United States"/>
    <x v="9"/>
    <x v="8"/>
    <x v="3"/>
    <s v="FUR-FU-10001025"/>
    <x v="0"/>
    <x v="3"/>
    <s v="Eldon Imˆge Series Desk Accessories, Clear"/>
    <n v="17.495999999999999"/>
    <n v="9"/>
    <n v="-7.4358000000000004"/>
    <x v="7"/>
    <x v="0"/>
  </r>
  <r>
    <s v="CA-2014-160766"/>
    <x v="94"/>
    <d v="2014-09-14T00:00:00"/>
    <x v="3"/>
    <s v="DM-13015"/>
    <s v="Darrin Martin"/>
    <x v="0"/>
    <s v="United States"/>
    <x v="13"/>
    <x v="7"/>
    <x v="2"/>
    <s v="FUR-TA-10001039"/>
    <x v="0"/>
    <x v="2"/>
    <s v="KI Adjustable-Height Table"/>
    <n v="464.29199999999997"/>
    <n v="9"/>
    <n v="-108.3348"/>
    <x v="7"/>
    <x v="4"/>
  </r>
  <r>
    <s v="CA-2017-146626"/>
    <x v="297"/>
    <d v="2018-01-05T00:00:00"/>
    <x v="1"/>
    <s v="BP-11185"/>
    <s v="Ben Peterman"/>
    <x v="1"/>
    <s v="United States"/>
    <x v="261"/>
    <x v="2"/>
    <x v="1"/>
    <s v="FUR-FU-10002501"/>
    <x v="0"/>
    <x v="3"/>
    <s v="Nu-Dell Executive Frame"/>
    <n v="101.12"/>
    <n v="8"/>
    <n v="37.414400000000001"/>
    <x v="1"/>
    <x v="5"/>
  </r>
  <r>
    <s v="CA-2016-128972"/>
    <x v="282"/>
    <d v="2016-11-17T00:00:00"/>
    <x v="1"/>
    <s v="TS-21430"/>
    <s v="Tom Stivers"/>
    <x v="1"/>
    <s v="United States"/>
    <x v="258"/>
    <x v="37"/>
    <x v="3"/>
    <s v="FUR-FU-10003096"/>
    <x v="0"/>
    <x v="3"/>
    <s v="Master Giant Foot Doorstop, Safety Yellow"/>
    <n v="30.36"/>
    <n v="4"/>
    <n v="13.0548"/>
    <x v="4"/>
    <x v="0"/>
  </r>
  <r>
    <s v="CA-2016-111213"/>
    <x v="610"/>
    <d v="2016-04-05T00:00:00"/>
    <x v="1"/>
    <s v="FP-14320"/>
    <s v="Frank Preis"/>
    <x v="0"/>
    <s v="United States"/>
    <x v="13"/>
    <x v="7"/>
    <x v="2"/>
    <s v="FUR-CH-10000454"/>
    <x v="0"/>
    <x v="1"/>
    <s v="Hon Deluxe Fabric Upholstered Stacking Chairs, Rounded Back"/>
    <n v="1317.492"/>
    <n v="6"/>
    <n v="292.77600000000001"/>
    <x v="4"/>
    <x v="6"/>
  </r>
  <r>
    <s v="CA-2017-161333"/>
    <x v="611"/>
    <d v="2017-02-07T00:00:00"/>
    <x v="1"/>
    <s v="JL-15835"/>
    <s v="John Lee"/>
    <x v="0"/>
    <s v="United States"/>
    <x v="2"/>
    <x v="2"/>
    <x v="1"/>
    <s v="FUR-FU-10003039"/>
    <x v="0"/>
    <x v="3"/>
    <s v="Howard Miller 11-1/2&quot; Diameter Grantwood Wall Clock"/>
    <n v="86.26"/>
    <n v="2"/>
    <n v="29.328399999999998"/>
    <x v="2"/>
    <x v="11"/>
  </r>
  <r>
    <s v="CA-2017-128734"/>
    <x v="455"/>
    <d v="2017-12-31T00:00:00"/>
    <x v="1"/>
    <s v="JL-15175"/>
    <s v="James Lanier"/>
    <x v="2"/>
    <s v="United States"/>
    <x v="262"/>
    <x v="22"/>
    <x v="1"/>
    <s v="FUR-FU-10001731"/>
    <x v="0"/>
    <x v="3"/>
    <s v="Acrylic Self-Standing Desk Frames"/>
    <n v="8.5440000000000005"/>
    <n v="4"/>
    <n v="1.9224000000000001"/>
    <x v="1"/>
    <x v="5"/>
  </r>
  <r>
    <s v="CA-2017-128734"/>
    <x v="455"/>
    <d v="2017-12-31T00:00:00"/>
    <x v="1"/>
    <s v="JL-15175"/>
    <s v="James Lanier"/>
    <x v="2"/>
    <s v="United States"/>
    <x v="262"/>
    <x v="22"/>
    <x v="1"/>
    <s v="FUR-CH-10001394"/>
    <x v="0"/>
    <x v="1"/>
    <s v="Global Leather Executive Chair"/>
    <n v="842.37599999999998"/>
    <n v="3"/>
    <n v="105.297"/>
    <x v="1"/>
    <x v="5"/>
  </r>
  <r>
    <s v="US-2015-124219"/>
    <x v="612"/>
    <d v="2015-08-08T00:00:00"/>
    <x v="2"/>
    <s v="KW-16570"/>
    <s v="Kelly Williams"/>
    <x v="0"/>
    <s v="United States"/>
    <x v="263"/>
    <x v="23"/>
    <x v="3"/>
    <s v="FUR-FU-10000305"/>
    <x v="0"/>
    <x v="3"/>
    <s v="Tenex V2T-RE Standard Weight Series Chair Mat, 45&quot; x 53&quot;, Lip 25&quot; x 12&quot;"/>
    <n v="212.94"/>
    <n v="3"/>
    <n v="34.070399999999999"/>
    <x v="5"/>
    <x v="10"/>
  </r>
  <r>
    <s v="CA-2017-163006"/>
    <x v="254"/>
    <d v="2017-07-04T00:00:00"/>
    <x v="0"/>
    <s v="GH-14410"/>
    <s v="Gary Hansen"/>
    <x v="2"/>
    <s v="United States"/>
    <x v="9"/>
    <x v="8"/>
    <x v="3"/>
    <s v="FUR-CH-10000229"/>
    <x v="0"/>
    <x v="1"/>
    <s v="Global Enterprise Series Seating High-Back Swivel/Tilt Chairs"/>
    <n v="569.05799999999999"/>
    <n v="3"/>
    <n v="-178.8468"/>
    <x v="4"/>
    <x v="2"/>
  </r>
  <r>
    <s v="CA-2017-163006"/>
    <x v="254"/>
    <d v="2017-07-04T00:00:00"/>
    <x v="0"/>
    <s v="GH-14410"/>
    <s v="Gary Hansen"/>
    <x v="2"/>
    <s v="United States"/>
    <x v="9"/>
    <x v="8"/>
    <x v="3"/>
    <s v="FUR-FU-10003799"/>
    <x v="0"/>
    <x v="3"/>
    <s v="Seth Thomas 13 1/2&quot; Wall Clock"/>
    <n v="14.224"/>
    <n v="2"/>
    <n v="-10.3124"/>
    <x v="4"/>
    <x v="2"/>
  </r>
  <r>
    <s v="CA-2014-111192"/>
    <x v="613"/>
    <d v="2014-08-05T00:00:00"/>
    <x v="1"/>
    <s v="TS-21430"/>
    <s v="Tom Stivers"/>
    <x v="1"/>
    <s v="United States"/>
    <x v="15"/>
    <x v="13"/>
    <x v="1"/>
    <s v="FUR-BO-10002916"/>
    <x v="0"/>
    <x v="0"/>
    <s v="Rush Hierlooms Collection 1&quot; Thick Stackable Bookcases"/>
    <n v="1367.84"/>
    <n v="8"/>
    <n v="259.88959999999997"/>
    <x v="6"/>
    <x v="3"/>
  </r>
  <r>
    <s v="CA-2016-115378"/>
    <x v="515"/>
    <d v="2016-11-23T00:00:00"/>
    <x v="0"/>
    <s v="AJ-10945"/>
    <s v="Ashley Jarboe"/>
    <x v="0"/>
    <s v="United States"/>
    <x v="264"/>
    <x v="17"/>
    <x v="3"/>
    <s v="FUR-CH-10000863"/>
    <x v="0"/>
    <x v="1"/>
    <s v="Novimex Swivel Fabric Task Chair"/>
    <n v="301.95999999999998"/>
    <n v="2"/>
    <n v="33.215600000000002"/>
    <x v="2"/>
    <x v="0"/>
  </r>
  <r>
    <s v="CA-2015-161627"/>
    <x v="171"/>
    <d v="2015-07-11T00:00:00"/>
    <x v="1"/>
    <s v="SJ-20215"/>
    <s v="Sarah Jordon"/>
    <x v="0"/>
    <s v="United States"/>
    <x v="102"/>
    <x v="2"/>
    <x v="1"/>
    <s v="FUR-CH-10003968"/>
    <x v="0"/>
    <x v="1"/>
    <s v="Novimex Turbo Task Chair"/>
    <n v="170.352"/>
    <n v="3"/>
    <n v="-17.0352"/>
    <x v="2"/>
    <x v="3"/>
  </r>
  <r>
    <s v="CA-2014-121006"/>
    <x v="448"/>
    <d v="2014-11-16T00:00:00"/>
    <x v="1"/>
    <s v="SC-20020"/>
    <s v="Sam Craven"/>
    <x v="0"/>
    <s v="United States"/>
    <x v="265"/>
    <x v="17"/>
    <x v="3"/>
    <s v="FUR-CH-10004997"/>
    <x v="0"/>
    <x v="1"/>
    <s v="Hon Every-Day Series Multi-Task Chairs"/>
    <n v="563.94000000000005"/>
    <n v="3"/>
    <n v="112.788"/>
    <x v="6"/>
    <x v="0"/>
  </r>
  <r>
    <s v="CA-2016-122903"/>
    <x v="614"/>
    <d v="2016-05-29T00:00:00"/>
    <x v="0"/>
    <s v="LA-16780"/>
    <s v="Laura Armstrong"/>
    <x v="1"/>
    <s v="United States"/>
    <x v="25"/>
    <x v="17"/>
    <x v="3"/>
    <s v="FUR-CH-10002024"/>
    <x v="0"/>
    <x v="1"/>
    <s v="HON 5400 Series Task Chairs for Big and Tall"/>
    <n v="3504.9"/>
    <n v="5"/>
    <n v="700.98"/>
    <x v="3"/>
    <x v="7"/>
  </r>
  <r>
    <s v="CA-2017-106432"/>
    <x v="66"/>
    <d v="2017-10-24T00:00:00"/>
    <x v="1"/>
    <s v="CA-12265"/>
    <s v="Christina Anderson"/>
    <x v="0"/>
    <s v="United States"/>
    <x v="266"/>
    <x v="5"/>
    <x v="3"/>
    <s v="FUR-BO-10004360"/>
    <x v="0"/>
    <x v="0"/>
    <s v="Rush Hierlooms Collection Rich Wood Bookcases"/>
    <n v="328.39920000000001"/>
    <n v="3"/>
    <n v="-91.758600000000001"/>
    <x v="2"/>
    <x v="1"/>
  </r>
  <r>
    <s v="US-2015-120502"/>
    <x v="315"/>
    <d v="2015-04-19T00:00:00"/>
    <x v="1"/>
    <s v="BT-11395"/>
    <s v="Bill Tyler"/>
    <x v="1"/>
    <s v="United States"/>
    <x v="2"/>
    <x v="2"/>
    <x v="1"/>
    <s v="FUR-FU-10004973"/>
    <x v="0"/>
    <x v="3"/>
    <s v="Flat Face Poster Frame"/>
    <n v="37.68"/>
    <n v="2"/>
    <n v="15.8256"/>
    <x v="6"/>
    <x v="6"/>
  </r>
  <r>
    <s v="CA-2015-115567"/>
    <x v="615"/>
    <d v="2015-09-18T00:00:00"/>
    <x v="1"/>
    <s v="ZC-21910"/>
    <s v="Zuschuss Carroll"/>
    <x v="0"/>
    <s v="United States"/>
    <x v="29"/>
    <x v="6"/>
    <x v="3"/>
    <s v="FUR-CH-10000015"/>
    <x v="0"/>
    <x v="1"/>
    <s v="Hon Multipurpose Stacking Arm Chairs"/>
    <n v="1516.2"/>
    <n v="7"/>
    <n v="394.21199999999999"/>
    <x v="2"/>
    <x v="4"/>
  </r>
  <r>
    <s v="CA-2014-101560"/>
    <x v="616"/>
    <d v="2014-12-01T00:00:00"/>
    <x v="0"/>
    <s v="CS-12250"/>
    <s v="Chris Selesnick"/>
    <x v="1"/>
    <s v="United States"/>
    <x v="11"/>
    <x v="10"/>
    <x v="0"/>
    <s v="FUR-FU-10003773"/>
    <x v="0"/>
    <x v="3"/>
    <s v="Eldon Cleatmat Plus Chair Mats for High Pile Carpets"/>
    <n v="397.6"/>
    <n v="5"/>
    <n v="43.735999999999997"/>
    <x v="0"/>
    <x v="0"/>
  </r>
  <r>
    <s v="CA-2015-142454"/>
    <x v="617"/>
    <d v="2015-08-19T00:00:00"/>
    <x v="1"/>
    <s v="RE-19450"/>
    <s v="Richard Eichhorn"/>
    <x v="0"/>
    <s v="United States"/>
    <x v="121"/>
    <x v="2"/>
    <x v="1"/>
    <s v="FUR-FU-10004018"/>
    <x v="0"/>
    <x v="3"/>
    <s v="Tensor Computer Mounted Lamp"/>
    <n v="104.23"/>
    <n v="7"/>
    <n v="28.142099999999999"/>
    <x v="4"/>
    <x v="10"/>
  </r>
  <r>
    <s v="CA-2017-145653"/>
    <x v="449"/>
    <d v="2017-09-01T00:00:00"/>
    <x v="3"/>
    <s v="CA-12775"/>
    <s v="Cynthia Arntzen"/>
    <x v="0"/>
    <s v="United States"/>
    <x v="25"/>
    <x v="17"/>
    <x v="3"/>
    <s v="FUR-CH-10004875"/>
    <x v="0"/>
    <x v="1"/>
    <s v="Harbour Creations 67200 Series Stacking Chairs"/>
    <n v="498.26"/>
    <n v="7"/>
    <n v="134.53020000000001"/>
    <x v="7"/>
    <x v="4"/>
  </r>
  <r>
    <s v="CA-2014-140487"/>
    <x v="618"/>
    <d v="2014-06-20T00:00:00"/>
    <x v="1"/>
    <s v="SR-20425"/>
    <s v="Sharelle Roach"/>
    <x v="2"/>
    <s v="United States"/>
    <x v="25"/>
    <x v="17"/>
    <x v="3"/>
    <s v="FUR-BO-10000711"/>
    <x v="0"/>
    <x v="0"/>
    <s v="Hon Metal Bookcases, Gray"/>
    <n v="212.94"/>
    <n v="3"/>
    <n v="57.4938"/>
    <x v="6"/>
    <x v="2"/>
  </r>
  <r>
    <s v="CA-2016-119865"/>
    <x v="619"/>
    <d v="2016-06-26T00:00:00"/>
    <x v="1"/>
    <s v="AS-10090"/>
    <s v="Adam Shillingsburg"/>
    <x v="0"/>
    <s v="United States"/>
    <x v="13"/>
    <x v="7"/>
    <x v="2"/>
    <s v="FUR-BO-10003272"/>
    <x v="0"/>
    <x v="0"/>
    <s v="O'Sullivan Living Dimensions 5-Shelf Bookcases"/>
    <n v="353.56799999999998"/>
    <n v="2"/>
    <n v="-44.195999999999998"/>
    <x v="2"/>
    <x v="2"/>
  </r>
  <r>
    <s v="CA-2017-124436"/>
    <x v="620"/>
    <d v="2017-03-22T00:00:00"/>
    <x v="0"/>
    <s v="SA-20830"/>
    <s v="Sue Ann Reed"/>
    <x v="0"/>
    <s v="United States"/>
    <x v="99"/>
    <x v="2"/>
    <x v="1"/>
    <s v="FUR-TA-10001095"/>
    <x v="0"/>
    <x v="2"/>
    <s v="Chromcraft Round Conference Tables"/>
    <n v="697.16"/>
    <n v="5"/>
    <n v="8.7144999999999992"/>
    <x v="0"/>
    <x v="9"/>
  </r>
  <r>
    <s v="CA-2017-124436"/>
    <x v="620"/>
    <d v="2017-03-22T00:00:00"/>
    <x v="0"/>
    <s v="SA-20830"/>
    <s v="Sue Ann Reed"/>
    <x v="0"/>
    <s v="United States"/>
    <x v="99"/>
    <x v="2"/>
    <x v="1"/>
    <s v="FUR-FU-10001185"/>
    <x v="0"/>
    <x v="3"/>
    <s v="Advantus Employee of the Month Certificate Frame, 11 x 13-1/2"/>
    <n v="30.93"/>
    <n v="1"/>
    <n v="12.6813"/>
    <x v="0"/>
    <x v="9"/>
  </r>
  <r>
    <s v="CA-2014-115084"/>
    <x v="305"/>
    <d v="2014-10-22T00:00:00"/>
    <x v="1"/>
    <s v="LS-17200"/>
    <s v="Luke Schmidt"/>
    <x v="1"/>
    <s v="United States"/>
    <x v="267"/>
    <x v="31"/>
    <x v="0"/>
    <s v="FUR-CH-10004626"/>
    <x v="0"/>
    <x v="1"/>
    <s v="Office Star Flex Back Scooter Chair with Aluminum Finish Frame"/>
    <n v="605.34"/>
    <n v="6"/>
    <n v="145.2816"/>
    <x v="4"/>
    <x v="1"/>
  </r>
  <r>
    <s v="CA-2017-131037"/>
    <x v="621"/>
    <d v="2017-08-23T00:00:00"/>
    <x v="2"/>
    <s v="TM-21490"/>
    <s v="Tony Molinari"/>
    <x v="0"/>
    <s v="United States"/>
    <x v="28"/>
    <x v="2"/>
    <x v="1"/>
    <s v="FUR-TA-10001768"/>
    <x v="0"/>
    <x v="2"/>
    <s v="Hon Racetrack Conference Tables"/>
    <n v="210.00800000000001"/>
    <n v="1"/>
    <n v="2.6251000000000002"/>
    <x v="5"/>
    <x v="10"/>
  </r>
  <r>
    <s v="CA-2014-166744"/>
    <x v="23"/>
    <d v="2014-09-24T00:00:00"/>
    <x v="1"/>
    <s v="DN-13690"/>
    <s v="Duane Noonan"/>
    <x v="0"/>
    <s v="United States"/>
    <x v="11"/>
    <x v="32"/>
    <x v="2"/>
    <s v="FUR-FU-10004952"/>
    <x v="0"/>
    <x v="3"/>
    <s v="C-Line Cubicle Keepers Polyproplyene Holder w/Velcro Back, 8-1/2x11, 25/Bx"/>
    <n v="164.22"/>
    <n v="3"/>
    <n v="50.908200000000001"/>
    <x v="4"/>
    <x v="4"/>
  </r>
  <r>
    <s v="CA-2014-166744"/>
    <x v="23"/>
    <d v="2014-09-24T00:00:00"/>
    <x v="1"/>
    <s v="DN-13690"/>
    <s v="Duane Noonan"/>
    <x v="0"/>
    <s v="United States"/>
    <x v="11"/>
    <x v="32"/>
    <x v="2"/>
    <s v="FUR-BO-10001337"/>
    <x v="0"/>
    <x v="0"/>
    <s v="O'Sullivan Living Dimensions 2-Shelf Bookcases"/>
    <n v="362.94"/>
    <n v="3"/>
    <n v="36.293999999999997"/>
    <x v="4"/>
    <x v="4"/>
  </r>
  <r>
    <s v="CA-2016-156265"/>
    <x v="622"/>
    <d v="2016-08-04T00:00:00"/>
    <x v="0"/>
    <s v="BF-11020"/>
    <s v="Barry Franzšsisch"/>
    <x v="1"/>
    <s v="United States"/>
    <x v="2"/>
    <x v="2"/>
    <x v="1"/>
    <s v="FUR-TA-10001691"/>
    <x v="0"/>
    <x v="2"/>
    <s v="Barricks Non-Folding Utility Table with Steel Legs, Laminate Tops"/>
    <n v="136.464"/>
    <n v="2"/>
    <n v="15.3522"/>
    <x v="3"/>
    <x v="10"/>
  </r>
  <r>
    <s v="CA-2015-125185"/>
    <x v="298"/>
    <d v="2015-03-07T00:00:00"/>
    <x v="0"/>
    <s v="AH-10195"/>
    <s v="Alan Haines"/>
    <x v="1"/>
    <s v="United States"/>
    <x v="268"/>
    <x v="3"/>
    <x v="2"/>
    <s v="FUR-CH-10002647"/>
    <x v="0"/>
    <x v="1"/>
    <s v="Situations Contoured Folding Chairs, 4/Set"/>
    <n v="99.372"/>
    <n v="2"/>
    <n v="-7.0979999999999999"/>
    <x v="3"/>
    <x v="9"/>
  </r>
  <r>
    <s v="CA-2015-125185"/>
    <x v="298"/>
    <d v="2015-03-07T00:00:00"/>
    <x v="0"/>
    <s v="AH-10195"/>
    <s v="Alan Haines"/>
    <x v="1"/>
    <s v="United States"/>
    <x v="268"/>
    <x v="3"/>
    <x v="2"/>
    <s v="FUR-FU-10003247"/>
    <x v="0"/>
    <x v="3"/>
    <s v="36X48 HARDFLOOR CHAIRMAT"/>
    <n v="33.567999999999998"/>
    <n v="2"/>
    <n v="-5.4547999999999996"/>
    <x v="3"/>
    <x v="9"/>
  </r>
  <r>
    <s v="CA-2014-105165"/>
    <x v="266"/>
    <d v="2014-09-10T00:00:00"/>
    <x v="2"/>
    <s v="SZ-20035"/>
    <s v="Sam Zeldin"/>
    <x v="2"/>
    <s v="United States"/>
    <x v="6"/>
    <x v="5"/>
    <x v="3"/>
    <s v="FUR-TA-10004154"/>
    <x v="0"/>
    <x v="2"/>
    <s v="Riverside Furniture Oval Coffee Table, Oval End Table, End Table with Drawer"/>
    <n v="200.79499999999999"/>
    <n v="1"/>
    <n v="-22.948"/>
    <x v="0"/>
    <x v="4"/>
  </r>
  <r>
    <s v="CA-2017-144484"/>
    <x v="91"/>
    <d v="2017-09-11T00:00:00"/>
    <x v="3"/>
    <s v="CB-12025"/>
    <s v="Cassandra Brandow"/>
    <x v="0"/>
    <s v="United States"/>
    <x v="28"/>
    <x v="2"/>
    <x v="1"/>
    <s v="FUR-FU-10000260"/>
    <x v="0"/>
    <x v="3"/>
    <s v="6&quot; Cubicle Wall Clock, Black"/>
    <n v="32.36"/>
    <n v="4"/>
    <n v="11.6496"/>
    <x v="7"/>
    <x v="4"/>
  </r>
  <r>
    <s v="CA-2017-125913"/>
    <x v="623"/>
    <d v="2017-01-16T00:00:00"/>
    <x v="3"/>
    <s v="JO-15145"/>
    <s v="Jack O'Briant"/>
    <x v="1"/>
    <s v="United States"/>
    <x v="2"/>
    <x v="2"/>
    <x v="1"/>
    <s v="FUR-FU-10001487"/>
    <x v="0"/>
    <x v="3"/>
    <s v="Eldon Expressions Wood and Plastic Desk Accessories, Cherry Wood"/>
    <n v="27.92"/>
    <n v="4"/>
    <n v="8.0968"/>
    <x v="7"/>
    <x v="8"/>
  </r>
  <r>
    <s v="CA-2017-125913"/>
    <x v="623"/>
    <d v="2017-01-16T00:00:00"/>
    <x v="3"/>
    <s v="JO-15145"/>
    <s v="Jack O'Briant"/>
    <x v="1"/>
    <s v="United States"/>
    <x v="2"/>
    <x v="2"/>
    <x v="1"/>
    <s v="FUR-TA-10001520"/>
    <x v="0"/>
    <x v="2"/>
    <s v="Lesro Sheffield Collection Coffee Table, End Table, Center Table, Corner Table"/>
    <n v="399.67200000000003"/>
    <n v="7"/>
    <n v="-14.9877"/>
    <x v="7"/>
    <x v="8"/>
  </r>
  <r>
    <s v="CA-2015-162887"/>
    <x v="86"/>
    <d v="2015-11-09T00:00:00"/>
    <x v="0"/>
    <s v="SV-20785"/>
    <s v="Stewart Visinsky"/>
    <x v="0"/>
    <s v="United States"/>
    <x v="259"/>
    <x v="43"/>
    <x v="2"/>
    <s v="FUR-CH-10000595"/>
    <x v="0"/>
    <x v="1"/>
    <s v="Safco Contoured Stacking Chairs"/>
    <n v="715.2"/>
    <n v="3"/>
    <n v="178.8"/>
    <x v="3"/>
    <x v="0"/>
  </r>
  <r>
    <s v="CA-2014-113859"/>
    <x v="624"/>
    <d v="2014-09-17T00:00:00"/>
    <x v="1"/>
    <s v="BC-11125"/>
    <s v="Becky Castell"/>
    <x v="2"/>
    <s v="United States"/>
    <x v="221"/>
    <x v="5"/>
    <x v="3"/>
    <s v="FUR-CH-10004698"/>
    <x v="0"/>
    <x v="1"/>
    <s v="Padded Folding Chairs, Black, 4/Carton"/>
    <n v="340.11599999999999"/>
    <n v="6"/>
    <n v="-9.7175999999999991"/>
    <x v="4"/>
    <x v="4"/>
  </r>
  <r>
    <s v="CA-2015-105158"/>
    <x v="278"/>
    <d v="2015-09-10T00:00:00"/>
    <x v="1"/>
    <s v="SP-20860"/>
    <s v="Sung Pak"/>
    <x v="1"/>
    <s v="United States"/>
    <x v="77"/>
    <x v="11"/>
    <x v="3"/>
    <s v="FUR-FU-10001706"/>
    <x v="0"/>
    <x v="3"/>
    <s v="Longer-Life Soft White Bulbs"/>
    <n v="6.16"/>
    <n v="2"/>
    <n v="2.9567999999999999"/>
    <x v="2"/>
    <x v="4"/>
  </r>
  <r>
    <s v="CA-2017-105991"/>
    <x v="625"/>
    <d v="2017-05-06T00:00:00"/>
    <x v="2"/>
    <s v="LH-17020"/>
    <s v="Lisa Hazard"/>
    <x v="0"/>
    <s v="United States"/>
    <x v="74"/>
    <x v="12"/>
    <x v="1"/>
    <s v="FUR-BO-10004467"/>
    <x v="0"/>
    <x v="0"/>
    <s v="Bestar Classic Bookcase"/>
    <n v="89.991"/>
    <n v="3"/>
    <n v="-152.9847"/>
    <x v="5"/>
    <x v="7"/>
  </r>
  <r>
    <s v="CA-2014-146283"/>
    <x v="30"/>
    <d v="2014-09-15T00:00:00"/>
    <x v="1"/>
    <s v="KT-16465"/>
    <s v="Kean Takahito"/>
    <x v="0"/>
    <s v="United States"/>
    <x v="6"/>
    <x v="5"/>
    <x v="3"/>
    <s v="FUR-CH-10004287"/>
    <x v="0"/>
    <x v="1"/>
    <s v="SAFCO Arco Folding Chair"/>
    <n v="966.7"/>
    <n v="5"/>
    <n v="-13.81"/>
    <x v="1"/>
    <x v="4"/>
  </r>
  <r>
    <s v="CA-2015-111073"/>
    <x v="626"/>
    <d v="2015-12-30T00:00:00"/>
    <x v="1"/>
    <s v="MC-18100"/>
    <s v="Mick Crebagga"/>
    <x v="0"/>
    <s v="United States"/>
    <x v="23"/>
    <x v="15"/>
    <x v="2"/>
    <s v="FUR-TA-10004086"/>
    <x v="0"/>
    <x v="2"/>
    <s v="KI Adjustable-Height Table"/>
    <n v="51.588000000000001"/>
    <n v="1"/>
    <n v="-15.4764"/>
    <x v="4"/>
    <x v="5"/>
  </r>
  <r>
    <s v="CA-2017-108791"/>
    <x v="534"/>
    <d v="2017-07-31T00:00:00"/>
    <x v="1"/>
    <s v="TM-21490"/>
    <s v="Tony Molinari"/>
    <x v="0"/>
    <s v="United States"/>
    <x v="90"/>
    <x v="7"/>
    <x v="2"/>
    <s v="FUR-FU-10004018"/>
    <x v="0"/>
    <x v="3"/>
    <s v="Tensor Computer Mounted Lamp"/>
    <n v="14.89"/>
    <n v="1"/>
    <n v="4.0202999999999998"/>
    <x v="4"/>
    <x v="3"/>
  </r>
  <r>
    <s v="CA-2016-113831"/>
    <x v="82"/>
    <d v="2016-06-03T00:00:00"/>
    <x v="1"/>
    <s v="AH-10690"/>
    <s v="Anna HŠberlin"/>
    <x v="1"/>
    <s v="United States"/>
    <x v="76"/>
    <x v="25"/>
    <x v="0"/>
    <s v="FUR-TA-10002645"/>
    <x v="0"/>
    <x v="2"/>
    <s v="Hon Rectangular Conference Tables"/>
    <n v="2275.5"/>
    <n v="10"/>
    <n v="386.83499999999998"/>
    <x v="4"/>
    <x v="7"/>
  </r>
  <r>
    <s v="US-2014-139500"/>
    <x v="627"/>
    <d v="2014-11-20T00:00:00"/>
    <x v="1"/>
    <s v="AB-10165"/>
    <s v="Alan Barnes"/>
    <x v="0"/>
    <s v="United States"/>
    <x v="42"/>
    <x v="8"/>
    <x v="3"/>
    <s v="FUR-CH-10002017"/>
    <x v="0"/>
    <x v="1"/>
    <s v="SAFCO Optional Arm Kit for Workspace Cribbage Stacking Chair"/>
    <n v="37.295999999999999"/>
    <n v="2"/>
    <n v="-1.0656000000000001"/>
    <x v="4"/>
    <x v="0"/>
  </r>
  <r>
    <s v="US-2014-166310"/>
    <x v="628"/>
    <d v="2014-09-23T00:00:00"/>
    <x v="2"/>
    <s v="JS-15940"/>
    <s v="Joni Sundaresam"/>
    <x v="2"/>
    <s v="United States"/>
    <x v="269"/>
    <x v="5"/>
    <x v="3"/>
    <s v="FUR-FU-10001546"/>
    <x v="0"/>
    <x v="3"/>
    <s v="Dana Swing-Arm Lamps"/>
    <n v="8.5440000000000005"/>
    <n v="2"/>
    <n v="-7.476"/>
    <x v="3"/>
    <x v="4"/>
  </r>
  <r>
    <s v="US-2016-168410"/>
    <x v="629"/>
    <d v="2016-02-26T00:00:00"/>
    <x v="1"/>
    <s v="BV-11245"/>
    <s v="Benjamin Venier"/>
    <x v="1"/>
    <s v="United States"/>
    <x v="64"/>
    <x v="7"/>
    <x v="2"/>
    <s v="FUR-FU-10000629"/>
    <x v="0"/>
    <x v="3"/>
    <s v="9-3/4 Diameter Round Wall Clock"/>
    <n v="68.95"/>
    <n v="5"/>
    <n v="28.959"/>
    <x v="2"/>
    <x v="11"/>
  </r>
  <r>
    <s v="CA-2017-131254"/>
    <x v="49"/>
    <d v="2017-11-21T00:00:00"/>
    <x v="2"/>
    <s v="NC-18415"/>
    <s v="Nathan Cano"/>
    <x v="0"/>
    <s v="United States"/>
    <x v="6"/>
    <x v="5"/>
    <x v="3"/>
    <s v="FUR-CH-10003774"/>
    <x v="0"/>
    <x v="1"/>
    <s v="Global Wood Trimmed Manager's Task Chair, Khaki"/>
    <n v="191.05799999999999"/>
    <n v="3"/>
    <n v="-46.399799999999999"/>
    <x v="3"/>
    <x v="0"/>
  </r>
  <r>
    <s v="CA-2017-137876"/>
    <x v="393"/>
    <d v="2017-05-05T00:00:00"/>
    <x v="1"/>
    <s v="DJ-13510"/>
    <s v="Don Jones"/>
    <x v="1"/>
    <s v="United States"/>
    <x v="28"/>
    <x v="2"/>
    <x v="1"/>
    <s v="FUR-FU-10000222"/>
    <x v="0"/>
    <x v="3"/>
    <s v="Seth Thomas 16&quot; Steel Case Clock"/>
    <n v="64.959999999999994"/>
    <n v="2"/>
    <n v="21.436800000000002"/>
    <x v="2"/>
    <x v="6"/>
  </r>
  <r>
    <s v="CA-2016-154060"/>
    <x v="630"/>
    <d v="2016-05-08T00:00:00"/>
    <x v="1"/>
    <s v="DL-12865"/>
    <s v="Dan Lawera"/>
    <x v="0"/>
    <s v="United States"/>
    <x v="224"/>
    <x v="30"/>
    <x v="0"/>
    <s v="FUR-CH-10002304"/>
    <x v="0"/>
    <x v="1"/>
    <s v="Global Stack Chair without Arms, Black"/>
    <n v="187.05600000000001"/>
    <n v="9"/>
    <n v="11.691000000000001"/>
    <x v="6"/>
    <x v="7"/>
  </r>
  <r>
    <s v="US-2017-162558"/>
    <x v="125"/>
    <d v="2017-10-05T00:00:00"/>
    <x v="2"/>
    <s v="Dp-13240"/>
    <s v="Dean percer"/>
    <x v="2"/>
    <s v="United States"/>
    <x v="270"/>
    <x v="9"/>
    <x v="0"/>
    <s v="FUR-FU-10002364"/>
    <x v="0"/>
    <x v="3"/>
    <s v="Eldon Expressions Wood Desk Accessories, Oak"/>
    <n v="11.808"/>
    <n v="2"/>
    <n v="1.3284"/>
    <x v="0"/>
    <x v="1"/>
  </r>
  <r>
    <s v="US-2017-162558"/>
    <x v="125"/>
    <d v="2017-10-05T00:00:00"/>
    <x v="2"/>
    <s v="Dp-13240"/>
    <s v="Dean percer"/>
    <x v="2"/>
    <s v="United States"/>
    <x v="270"/>
    <x v="9"/>
    <x v="0"/>
    <s v="FUR-FU-10004864"/>
    <x v="0"/>
    <x v="3"/>
    <s v="Eldon 500 Class Desk Accessories"/>
    <n v="9.6560000000000006"/>
    <n v="1"/>
    <n v="1.5690999999999999"/>
    <x v="0"/>
    <x v="1"/>
  </r>
  <r>
    <s v="US-2017-162558"/>
    <x v="125"/>
    <d v="2017-10-05T00:00:00"/>
    <x v="2"/>
    <s v="Dp-13240"/>
    <s v="Dean percer"/>
    <x v="2"/>
    <s v="United States"/>
    <x v="270"/>
    <x v="9"/>
    <x v="0"/>
    <s v="FUR-TA-10000198"/>
    <x v="0"/>
    <x v="2"/>
    <s v="Chromcraft Bull-Nose Wood Oval Conference Tables &amp; Bases"/>
    <n v="2314.116"/>
    <n v="7"/>
    <n v="-1002.7836"/>
    <x v="0"/>
    <x v="1"/>
  </r>
  <r>
    <s v="US-2017-162558"/>
    <x v="125"/>
    <d v="2017-10-05T00:00:00"/>
    <x v="2"/>
    <s v="Dp-13240"/>
    <s v="Dean percer"/>
    <x v="2"/>
    <s v="United States"/>
    <x v="270"/>
    <x v="9"/>
    <x v="0"/>
    <s v="FUR-FU-10003691"/>
    <x v="0"/>
    <x v="3"/>
    <s v="Eldon Image Series Desk Accessories, Ebony"/>
    <n v="19.760000000000002"/>
    <n v="2"/>
    <n v="5.9279999999999999"/>
    <x v="0"/>
    <x v="1"/>
  </r>
  <r>
    <s v="CA-2015-119508"/>
    <x v="463"/>
    <d v="2015-12-09T00:00:00"/>
    <x v="1"/>
    <s v="TZ-21580"/>
    <s v="Tracy Zic"/>
    <x v="0"/>
    <s v="United States"/>
    <x v="174"/>
    <x v="2"/>
    <x v="1"/>
    <s v="FUR-FU-10004270"/>
    <x v="0"/>
    <x v="3"/>
    <s v="Eldon Image Series Desk Accessories, Burgundy"/>
    <n v="25.08"/>
    <n v="6"/>
    <n v="9.0288000000000004"/>
    <x v="2"/>
    <x v="5"/>
  </r>
  <r>
    <s v="CA-2016-123120"/>
    <x v="631"/>
    <d v="2016-09-08T00:00:00"/>
    <x v="1"/>
    <s v="CV-12295"/>
    <s v="Christina VanderZanden"/>
    <x v="0"/>
    <s v="United States"/>
    <x v="13"/>
    <x v="7"/>
    <x v="2"/>
    <s v="FUR-FU-10004748"/>
    <x v="0"/>
    <x v="3"/>
    <s v="Howard Miller 16&quot; Diameter Gallery Wall Clock"/>
    <n v="63.94"/>
    <n v="1"/>
    <n v="24.936599999999999"/>
    <x v="4"/>
    <x v="4"/>
  </r>
  <r>
    <s v="CA-2014-103331"/>
    <x v="632"/>
    <d v="2014-09-01T00:00:00"/>
    <x v="1"/>
    <s v="KB-16315"/>
    <s v="Karl Braun"/>
    <x v="0"/>
    <s v="United States"/>
    <x v="19"/>
    <x v="14"/>
    <x v="2"/>
    <s v="FUR-FU-10001731"/>
    <x v="0"/>
    <x v="3"/>
    <s v="Acrylic Self-Standing Desk Frames"/>
    <n v="10.68"/>
    <n v="4"/>
    <n v="4.0583999999999998"/>
    <x v="6"/>
    <x v="10"/>
  </r>
  <r>
    <s v="CA-2014-113768"/>
    <x v="633"/>
    <d v="2014-05-19T00:00:00"/>
    <x v="1"/>
    <s v="AH-10030"/>
    <s v="Aaron Hawkins"/>
    <x v="1"/>
    <s v="United States"/>
    <x v="2"/>
    <x v="2"/>
    <x v="1"/>
    <s v="FUR-CH-10002439"/>
    <x v="0"/>
    <x v="1"/>
    <s v="Iceberg Nesting Folding Chair, 19w x 6d x 43h"/>
    <n v="279.45600000000002"/>
    <n v="6"/>
    <n v="20.959199999999999"/>
    <x v="6"/>
    <x v="7"/>
  </r>
  <r>
    <s v="US-2017-126060"/>
    <x v="438"/>
    <d v="2017-04-18T00:00:00"/>
    <x v="1"/>
    <s v="DW-13585"/>
    <s v="Dorothy Wardle"/>
    <x v="1"/>
    <s v="United States"/>
    <x v="160"/>
    <x v="30"/>
    <x v="0"/>
    <s v="FUR-BO-10003433"/>
    <x v="0"/>
    <x v="0"/>
    <s v="Sauder Cornerstone Collection Library"/>
    <n v="198.27199999999999"/>
    <n v="8"/>
    <n v="-32.219200000000001"/>
    <x v="4"/>
    <x v="6"/>
  </r>
  <r>
    <s v="CA-2016-122017"/>
    <x v="353"/>
    <d v="2017-01-02T00:00:00"/>
    <x v="1"/>
    <s v="CD-11920"/>
    <s v="Carlos Daly"/>
    <x v="0"/>
    <s v="United States"/>
    <x v="271"/>
    <x v="44"/>
    <x v="3"/>
    <s v="FUR-FU-10000672"/>
    <x v="0"/>
    <x v="3"/>
    <s v="Executive Impressions 10&quot; Spectator Wall Clock"/>
    <n v="70.56"/>
    <n v="6"/>
    <n v="23.990400000000001"/>
    <x v="4"/>
    <x v="5"/>
  </r>
  <r>
    <s v="US-2017-136721"/>
    <x v="403"/>
    <d v="2017-04-12T00:00:00"/>
    <x v="1"/>
    <s v="NH-18610"/>
    <s v="Nicole Hansen"/>
    <x v="1"/>
    <s v="United States"/>
    <x v="272"/>
    <x v="17"/>
    <x v="3"/>
    <s v="FUR-FU-10004665"/>
    <x v="0"/>
    <x v="3"/>
    <s v="3M Polarizing Task Lamp with Clamp Arm, Light Gray"/>
    <n v="273.95999999999998"/>
    <n v="2"/>
    <n v="71.229600000000005"/>
    <x v="4"/>
    <x v="6"/>
  </r>
  <r>
    <s v="US-2017-136721"/>
    <x v="403"/>
    <d v="2017-04-12T00:00:00"/>
    <x v="1"/>
    <s v="NH-18610"/>
    <s v="Nicole Hansen"/>
    <x v="1"/>
    <s v="United States"/>
    <x v="272"/>
    <x v="17"/>
    <x v="3"/>
    <s v="FUR-FU-10004188"/>
    <x v="0"/>
    <x v="3"/>
    <s v="Luxo Professional Combination Clamp-On Lamps"/>
    <n v="306.89999999999998"/>
    <n v="3"/>
    <n v="79.793999999999997"/>
    <x v="4"/>
    <x v="6"/>
  </r>
  <r>
    <s v="CA-2015-118738"/>
    <x v="634"/>
    <d v="2015-10-30T00:00:00"/>
    <x v="1"/>
    <s v="AG-10495"/>
    <s v="Andrew Gjertsen"/>
    <x v="1"/>
    <s v="United States"/>
    <x v="6"/>
    <x v="5"/>
    <x v="3"/>
    <s v="FUR-TA-10002607"/>
    <x v="0"/>
    <x v="2"/>
    <s v="KI Conference Tables"/>
    <n v="347.36099999999999"/>
    <n v="7"/>
    <n v="-69.472200000000001"/>
    <x v="6"/>
    <x v="1"/>
  </r>
  <r>
    <s v="US-2014-123183"/>
    <x v="635"/>
    <d v="2014-11-25T00:00:00"/>
    <x v="1"/>
    <s v="GR-14560"/>
    <s v="Georgia Rosenberg"/>
    <x v="1"/>
    <s v="United States"/>
    <x v="16"/>
    <x v="14"/>
    <x v="2"/>
    <s v="FUR-BO-10000362"/>
    <x v="0"/>
    <x v="0"/>
    <s v="Sauder Inglewood Library Bookcases"/>
    <n v="1025.8800000000001"/>
    <n v="6"/>
    <n v="235.95240000000001"/>
    <x v="6"/>
    <x v="0"/>
  </r>
  <r>
    <s v="US-2016-147340"/>
    <x v="211"/>
    <d v="2016-09-24T00:00:00"/>
    <x v="3"/>
    <s v="EB-13750"/>
    <s v="Edward Becker"/>
    <x v="1"/>
    <s v="United States"/>
    <x v="28"/>
    <x v="2"/>
    <x v="1"/>
    <s v="FUR-FU-10002501"/>
    <x v="0"/>
    <x v="3"/>
    <s v="Nu-Dell Executive Frame"/>
    <n v="63.2"/>
    <n v="5"/>
    <n v="23.384"/>
    <x v="7"/>
    <x v="4"/>
  </r>
  <r>
    <s v="CA-2016-117681"/>
    <x v="636"/>
    <d v="2016-04-14T00:00:00"/>
    <x v="1"/>
    <s v="HF-14995"/>
    <s v="Herbert Flentye"/>
    <x v="0"/>
    <s v="United States"/>
    <x v="2"/>
    <x v="2"/>
    <x v="1"/>
    <s v="FUR-BO-10001798"/>
    <x v="0"/>
    <x v="0"/>
    <s v="Bush Somerset Collection Bookcase"/>
    <n v="556.66499999999996"/>
    <n v="5"/>
    <n v="6.5490000000000004"/>
    <x v="2"/>
    <x v="6"/>
  </r>
  <r>
    <s v="CA-2016-153598"/>
    <x v="122"/>
    <d v="2016-12-06T00:00:00"/>
    <x v="2"/>
    <s v="NM-18520"/>
    <s v="Neoma Murray"/>
    <x v="0"/>
    <s v="United States"/>
    <x v="2"/>
    <x v="2"/>
    <x v="1"/>
    <s v="FUR-FU-10001085"/>
    <x v="0"/>
    <x v="3"/>
    <s v="3M Polarizing Light Filter Sleeves"/>
    <n v="111.9"/>
    <n v="6"/>
    <n v="51.473999999999997"/>
    <x v="0"/>
    <x v="5"/>
  </r>
  <r>
    <s v="US-2016-108497"/>
    <x v="184"/>
    <d v="2016-06-14T00:00:00"/>
    <x v="3"/>
    <s v="MH-17290"/>
    <s v="Marc Harrigan"/>
    <x v="2"/>
    <s v="United States"/>
    <x v="2"/>
    <x v="2"/>
    <x v="1"/>
    <s v="FUR-BO-10004218"/>
    <x v="0"/>
    <x v="0"/>
    <s v="Bush Heritage Pine Collection 5-Shelf Bookcase, Albany Pine Finish, *Special Order"/>
    <n v="599.16499999999996"/>
    <n v="5"/>
    <n v="35.244999999999997"/>
    <x v="7"/>
    <x v="2"/>
  </r>
  <r>
    <s v="CA-2014-136861"/>
    <x v="637"/>
    <d v="2014-09-07T00:00:00"/>
    <x v="2"/>
    <s v="PR-18880"/>
    <s v="Patrick Ryan"/>
    <x v="0"/>
    <s v="United States"/>
    <x v="66"/>
    <x v="1"/>
    <x v="0"/>
    <s v="FUR-FU-10001967"/>
    <x v="0"/>
    <x v="3"/>
    <s v="Telescoping Adjustable Floor Lamp"/>
    <n v="31.984000000000002"/>
    <n v="2"/>
    <n v="1.9990000000000001"/>
    <x v="3"/>
    <x v="4"/>
  </r>
  <r>
    <s v="CA-2014-103317"/>
    <x v="638"/>
    <d v="2014-07-08T00:00:00"/>
    <x v="2"/>
    <s v="DM-13525"/>
    <s v="Don Miller"/>
    <x v="1"/>
    <s v="United States"/>
    <x v="273"/>
    <x v="1"/>
    <x v="0"/>
    <s v="FUR-FU-10001591"/>
    <x v="0"/>
    <x v="3"/>
    <s v="Advantus Panel Wall Certificate Holder - 8.5x11"/>
    <n v="19.52"/>
    <n v="2"/>
    <n v="5.3680000000000003"/>
    <x v="0"/>
    <x v="3"/>
  </r>
  <r>
    <s v="CA-2014-103317"/>
    <x v="638"/>
    <d v="2014-07-08T00:00:00"/>
    <x v="2"/>
    <s v="DM-13525"/>
    <s v="Don Miller"/>
    <x v="1"/>
    <s v="United States"/>
    <x v="273"/>
    <x v="1"/>
    <x v="0"/>
    <s v="FUR-FU-10003192"/>
    <x v="0"/>
    <x v="3"/>
    <s v="Luxo Adjustable Task Clamp Lamp"/>
    <n v="213.21600000000001"/>
    <n v="3"/>
    <n v="15.991199999999999"/>
    <x v="0"/>
    <x v="3"/>
  </r>
  <r>
    <s v="US-2014-119081"/>
    <x v="639"/>
    <d v="2014-09-19T00:00:00"/>
    <x v="1"/>
    <s v="TA-21385"/>
    <s v="Tom Ashbrook"/>
    <x v="2"/>
    <s v="United States"/>
    <x v="274"/>
    <x v="44"/>
    <x v="3"/>
    <s v="FUR-FU-10003464"/>
    <x v="0"/>
    <x v="3"/>
    <s v="Seth Thomas 8 1/2&quot; Cubicle Clock"/>
    <n v="40.56"/>
    <n v="2"/>
    <n v="12.979200000000001"/>
    <x v="1"/>
    <x v="4"/>
  </r>
  <r>
    <s v="CA-2017-130631"/>
    <x v="297"/>
    <d v="2018-01-02T00:00:00"/>
    <x v="1"/>
    <s v="BS-11755"/>
    <s v="Bruce Stewart"/>
    <x v="0"/>
    <s v="United States"/>
    <x v="71"/>
    <x v="13"/>
    <x v="1"/>
    <s v="FUR-FU-10004093"/>
    <x v="0"/>
    <x v="3"/>
    <s v="Hand-Finished Solid Wood Document Frame"/>
    <n v="68.459999999999994"/>
    <n v="2"/>
    <n v="20.538"/>
    <x v="4"/>
    <x v="5"/>
  </r>
  <r>
    <s v="CA-2017-116680"/>
    <x v="362"/>
    <d v="2017-09-06T00:00:00"/>
    <x v="0"/>
    <s v="PK-19075"/>
    <s v="Pete Kriz"/>
    <x v="0"/>
    <s v="United States"/>
    <x v="28"/>
    <x v="2"/>
    <x v="1"/>
    <s v="FUR-TA-10001771"/>
    <x v="0"/>
    <x v="2"/>
    <s v="Bush Cubix Conference Tables, Fully Assembled"/>
    <n v="1478.2719999999999"/>
    <n v="8"/>
    <n v="92.391999999999996"/>
    <x v="3"/>
    <x v="4"/>
  </r>
  <r>
    <s v="CA-2017-101574"/>
    <x v="559"/>
    <d v="2017-10-04T00:00:00"/>
    <x v="1"/>
    <s v="BD-11725"/>
    <s v="Bruce Degenhardt"/>
    <x v="0"/>
    <s v="United States"/>
    <x v="2"/>
    <x v="2"/>
    <x v="1"/>
    <s v="FUR-FU-10001706"/>
    <x v="0"/>
    <x v="3"/>
    <s v="Longer-Life Soft White Bulbs"/>
    <n v="9.24"/>
    <n v="3"/>
    <n v="4.4352"/>
    <x v="6"/>
    <x v="4"/>
  </r>
  <r>
    <s v="CA-2014-146591"/>
    <x v="640"/>
    <d v="2014-01-20T00:00:00"/>
    <x v="2"/>
    <s v="TS-21340"/>
    <s v="Toby Swindell"/>
    <x v="0"/>
    <s v="United States"/>
    <x v="163"/>
    <x v="22"/>
    <x v="1"/>
    <s v="FUR-BO-10001972"/>
    <x v="0"/>
    <x v="0"/>
    <s v="O'Sullivan 4-Shelf Bookcase in Odessa Pine"/>
    <n v="181.47"/>
    <n v="5"/>
    <n v="-320.59699999999998"/>
    <x v="5"/>
    <x v="8"/>
  </r>
  <r>
    <s v="CA-2016-122448"/>
    <x v="641"/>
    <d v="2016-06-14T00:00:00"/>
    <x v="1"/>
    <s v="DB-13210"/>
    <s v="Dean Braden"/>
    <x v="0"/>
    <s v="United States"/>
    <x v="28"/>
    <x v="2"/>
    <x v="1"/>
    <s v="FUR-CH-10002774"/>
    <x v="0"/>
    <x v="1"/>
    <s v="Global Deluxe Stacking Chair, Gray"/>
    <n v="122.352"/>
    <n v="3"/>
    <n v="13.7646"/>
    <x v="2"/>
    <x v="2"/>
  </r>
  <r>
    <s v="CA-2014-132451"/>
    <x v="218"/>
    <d v="2014-09-27T00:00:00"/>
    <x v="2"/>
    <s v="KF-16285"/>
    <s v="Karen Ferguson"/>
    <x v="2"/>
    <s v="United States"/>
    <x v="53"/>
    <x v="2"/>
    <x v="1"/>
    <s v="FUR-CH-10000454"/>
    <x v="0"/>
    <x v="1"/>
    <s v="Hon Deluxe Fabric Upholstered Stacking Chairs, Rounded Back"/>
    <n v="585.55200000000002"/>
    <n v="3"/>
    <n v="73.194000000000003"/>
    <x v="5"/>
    <x v="4"/>
  </r>
  <r>
    <s v="CA-2017-116946"/>
    <x v="642"/>
    <d v="2017-12-23T00:00:00"/>
    <x v="1"/>
    <s v="TS-21505"/>
    <s v="Tony Sayre"/>
    <x v="0"/>
    <s v="United States"/>
    <x v="47"/>
    <x v="12"/>
    <x v="1"/>
    <s v="FUR-FU-10000320"/>
    <x v="0"/>
    <x v="3"/>
    <s v="OIC Stacking Trays"/>
    <n v="13.36"/>
    <n v="5"/>
    <n v="4.008"/>
    <x v="4"/>
    <x v="5"/>
  </r>
  <r>
    <s v="CA-2017-116946"/>
    <x v="642"/>
    <d v="2017-12-23T00:00:00"/>
    <x v="1"/>
    <s v="TS-21505"/>
    <s v="Tony Sayre"/>
    <x v="0"/>
    <s v="United States"/>
    <x v="47"/>
    <x v="12"/>
    <x v="1"/>
    <s v="FUR-BO-10000468"/>
    <x v="0"/>
    <x v="0"/>
    <s v="O'Sullivan 2-Shelf Heavy-Duty Bookcases"/>
    <n v="102.018"/>
    <n v="7"/>
    <n v="-183.63239999999999"/>
    <x v="4"/>
    <x v="5"/>
  </r>
  <r>
    <s v="CA-2017-148999"/>
    <x v="129"/>
    <d v="2017-02-04T00:00:00"/>
    <x v="1"/>
    <s v="EB-13870"/>
    <s v="Emily Burns"/>
    <x v="0"/>
    <s v="United States"/>
    <x v="89"/>
    <x v="1"/>
    <x v="0"/>
    <s v="FUR-CH-10002044"/>
    <x v="0"/>
    <x v="1"/>
    <s v="Office Star - Contemporary Task Swivel chair with 2-way adjustable arms, Plum"/>
    <n v="419.13600000000002"/>
    <n v="4"/>
    <n v="-68.1096"/>
    <x v="2"/>
    <x v="8"/>
  </r>
  <r>
    <s v="CA-2017-134495"/>
    <x v="535"/>
    <d v="2017-04-04T00:00:00"/>
    <x v="0"/>
    <s v="BF-11020"/>
    <s v="Barry Franzšsisch"/>
    <x v="1"/>
    <s v="United States"/>
    <x v="51"/>
    <x v="1"/>
    <x v="0"/>
    <s v="FUR-CH-10003774"/>
    <x v="0"/>
    <x v="1"/>
    <s v="Global Wood Trimmed Manager's Task Chair, Khaki"/>
    <n v="218.352"/>
    <n v="3"/>
    <n v="-19.105799999999999"/>
    <x v="0"/>
    <x v="6"/>
  </r>
  <r>
    <s v="CA-2014-105249"/>
    <x v="616"/>
    <d v="2014-11-28T00:00:00"/>
    <x v="3"/>
    <s v="DH-13675"/>
    <s v="Duane Huffman"/>
    <x v="2"/>
    <s v="United States"/>
    <x v="28"/>
    <x v="2"/>
    <x v="1"/>
    <s v="FUR-BO-10000330"/>
    <x v="0"/>
    <x v="0"/>
    <s v="Sauder Camden County Barrister Bookcase, Planked Cherry Finish"/>
    <n v="411.33199999999999"/>
    <n v="4"/>
    <n v="-4.8391999999999999"/>
    <x v="7"/>
    <x v="0"/>
  </r>
  <r>
    <s v="CA-2017-164378"/>
    <x v="316"/>
    <d v="2017-07-18T00:00:00"/>
    <x v="0"/>
    <s v="MM-18055"/>
    <s v="Michelle Moray"/>
    <x v="0"/>
    <s v="United States"/>
    <x v="13"/>
    <x v="7"/>
    <x v="2"/>
    <s v="FUR-CH-10002084"/>
    <x v="0"/>
    <x v="1"/>
    <s v="Hon Mobius Operator's Chair"/>
    <n v="664.14599999999996"/>
    <n v="6"/>
    <n v="88.552800000000005"/>
    <x v="0"/>
    <x v="3"/>
  </r>
  <r>
    <s v="CA-2017-127782"/>
    <x v="575"/>
    <d v="2017-11-06T00:00:00"/>
    <x v="1"/>
    <s v="TH-21115"/>
    <s v="Thea Hudgings"/>
    <x v="1"/>
    <s v="United States"/>
    <x v="3"/>
    <x v="3"/>
    <x v="2"/>
    <s v="FUR-FU-10001847"/>
    <x v="0"/>
    <x v="3"/>
    <s v="Eldon Image Series Black Desk Accessories"/>
    <n v="3.3119999999999998"/>
    <n v="1"/>
    <n v="0.66239999999999999"/>
    <x v="4"/>
    <x v="0"/>
  </r>
  <r>
    <s v="CA-2015-168529"/>
    <x v="643"/>
    <d v="2015-10-12T00:00:00"/>
    <x v="1"/>
    <s v="MB-17305"/>
    <s v="Maria Bertelson"/>
    <x v="0"/>
    <s v="United States"/>
    <x v="28"/>
    <x v="2"/>
    <x v="1"/>
    <s v="FUR-FU-10001588"/>
    <x v="0"/>
    <x v="3"/>
    <s v="Deflect-o SuperTray Unbreakable Stackable Tray, Letter, Black"/>
    <n v="145.9"/>
    <n v="5"/>
    <n v="62.737000000000002"/>
    <x v="4"/>
    <x v="1"/>
  </r>
  <r>
    <s v="CA-2017-117667"/>
    <x v="423"/>
    <d v="2017-12-09T00:00:00"/>
    <x v="1"/>
    <s v="MS-17980"/>
    <s v="Michael Stewart"/>
    <x v="1"/>
    <s v="United States"/>
    <x v="3"/>
    <x v="3"/>
    <x v="2"/>
    <s v="FUR-CH-10004540"/>
    <x v="0"/>
    <x v="1"/>
    <s v="Global Chrome Stack Chair"/>
    <n v="239.96"/>
    <n v="10"/>
    <n v="-10.284000000000001"/>
    <x v="2"/>
    <x v="5"/>
  </r>
  <r>
    <s v="CA-2017-117667"/>
    <x v="423"/>
    <d v="2017-12-09T00:00:00"/>
    <x v="1"/>
    <s v="MS-17980"/>
    <s v="Michael Stewart"/>
    <x v="1"/>
    <s v="United States"/>
    <x v="3"/>
    <x v="3"/>
    <x v="2"/>
    <s v="FUR-FU-10004093"/>
    <x v="0"/>
    <x v="3"/>
    <s v="Hand-Finished Solid Wood Document Frame"/>
    <n v="54.768000000000001"/>
    <n v="2"/>
    <n v="6.8460000000000001"/>
    <x v="2"/>
    <x v="5"/>
  </r>
  <r>
    <s v="US-2017-150595"/>
    <x v="644"/>
    <d v="2017-05-26T00:00:00"/>
    <x v="1"/>
    <s v="LE-16810"/>
    <s v="Laurel Elliston"/>
    <x v="0"/>
    <s v="United States"/>
    <x v="9"/>
    <x v="8"/>
    <x v="3"/>
    <s v="FUR-CH-10000513"/>
    <x v="0"/>
    <x v="1"/>
    <s v="High-Back Leather Manager's Chair"/>
    <n v="181.98599999999999"/>
    <n v="2"/>
    <n v="-54.595799999999997"/>
    <x v="4"/>
    <x v="7"/>
  </r>
  <r>
    <s v="CA-2016-134936"/>
    <x v="645"/>
    <d v="2016-12-25T00:00:00"/>
    <x v="1"/>
    <s v="ES-14080"/>
    <s v="Erin Smith"/>
    <x v="1"/>
    <s v="United States"/>
    <x v="104"/>
    <x v="22"/>
    <x v="1"/>
    <s v="FUR-TA-10001086"/>
    <x v="0"/>
    <x v="2"/>
    <s v="SAFCO PlanMaster Boards, 60w x 37-1/2d, White Melamine"/>
    <n v="455.97"/>
    <n v="6"/>
    <n v="-218.8656"/>
    <x v="6"/>
    <x v="5"/>
  </r>
  <r>
    <s v="CA-2017-151008"/>
    <x v="87"/>
    <d v="2017-09-08T00:00:00"/>
    <x v="2"/>
    <s v="JM-16195"/>
    <s v="Justin MacKendrick"/>
    <x v="0"/>
    <s v="United States"/>
    <x v="275"/>
    <x v="4"/>
    <x v="1"/>
    <s v="FUR-FU-10002396"/>
    <x v="0"/>
    <x v="3"/>
    <s v="DAX Copper Panel Document Frame, 5 x 7 Size"/>
    <n v="25.16"/>
    <n v="2"/>
    <n v="10.5672"/>
    <x v="5"/>
    <x v="4"/>
  </r>
  <r>
    <s v="US-2014-159618"/>
    <x v="352"/>
    <d v="2014-11-16T00:00:00"/>
    <x v="1"/>
    <s v="DB-12970"/>
    <s v="Darren Budd"/>
    <x v="1"/>
    <s v="United States"/>
    <x v="6"/>
    <x v="5"/>
    <x v="3"/>
    <s v="FUR-BO-10004467"/>
    <x v="0"/>
    <x v="0"/>
    <s v="Bestar Classic Bookcase"/>
    <n v="67.993200000000002"/>
    <n v="1"/>
    <n v="-12.998699999999999"/>
    <x v="4"/>
    <x v="0"/>
  </r>
  <r>
    <s v="CA-2017-116113"/>
    <x v="125"/>
    <d v="2017-10-06T00:00:00"/>
    <x v="0"/>
    <s v="JW-15220"/>
    <s v="Jane Waco"/>
    <x v="1"/>
    <s v="United States"/>
    <x v="132"/>
    <x v="33"/>
    <x v="0"/>
    <s v="FUR-FU-10002963"/>
    <x v="0"/>
    <x v="3"/>
    <s v="Master Caster Door Stop, Gray"/>
    <n v="10.16"/>
    <n v="2"/>
    <n v="3.4544000000000001"/>
    <x v="4"/>
    <x v="1"/>
  </r>
  <r>
    <s v="CA-2015-125066"/>
    <x v="646"/>
    <d v="2015-12-18T00:00:00"/>
    <x v="1"/>
    <s v="KD-16495"/>
    <s v="Keith Dawkins"/>
    <x v="1"/>
    <s v="United States"/>
    <x v="38"/>
    <x v="21"/>
    <x v="0"/>
    <s v="FUR-FU-10003829"/>
    <x v="0"/>
    <x v="3"/>
    <s v="Stackable Trays"/>
    <n v="6.16"/>
    <n v="2"/>
    <n v="1.9712000000000001"/>
    <x v="4"/>
    <x v="5"/>
  </r>
  <r>
    <s v="CA-2017-157966"/>
    <x v="647"/>
    <d v="2017-03-13T00:00:00"/>
    <x v="3"/>
    <s v="SU-20665"/>
    <s v="Stephanie Ulpright"/>
    <x v="2"/>
    <s v="United States"/>
    <x v="9"/>
    <x v="8"/>
    <x v="3"/>
    <s v="FUR-CH-10003606"/>
    <x v="0"/>
    <x v="1"/>
    <s v="SAFCO Folding Chair Trolley"/>
    <n v="89.768000000000001"/>
    <n v="1"/>
    <n v="-2.5648"/>
    <x v="7"/>
    <x v="9"/>
  </r>
  <r>
    <s v="CA-2016-136686"/>
    <x v="574"/>
    <d v="2016-12-16T00:00:00"/>
    <x v="1"/>
    <s v="RF-19840"/>
    <s v="Roy Franzšsisch"/>
    <x v="0"/>
    <s v="United States"/>
    <x v="102"/>
    <x v="2"/>
    <x v="1"/>
    <s v="FUR-FU-10004864"/>
    <x v="0"/>
    <x v="3"/>
    <s v="Howard Miller 14-1/2&quot; Diameter Chrome Round Wall Clock"/>
    <n v="383.64"/>
    <n v="6"/>
    <n v="122.76479999999999"/>
    <x v="4"/>
    <x v="5"/>
  </r>
  <r>
    <s v="CA-2017-137498"/>
    <x v="198"/>
    <d v="2017-09-14T00:00:00"/>
    <x v="0"/>
    <s v="LC-17050"/>
    <s v="Liz Carlisle"/>
    <x v="0"/>
    <s v="United States"/>
    <x v="2"/>
    <x v="2"/>
    <x v="1"/>
    <s v="FUR-CH-10003833"/>
    <x v="0"/>
    <x v="1"/>
    <s v="Novimex Fabric Task Chair"/>
    <n v="243.92"/>
    <n v="5"/>
    <n v="-15.244999999999999"/>
    <x v="2"/>
    <x v="4"/>
  </r>
  <r>
    <s v="CA-2017-163818"/>
    <x v="648"/>
    <d v="2017-10-08T00:00:00"/>
    <x v="1"/>
    <s v="PS-18970"/>
    <s v="Paul Stevenson"/>
    <x v="2"/>
    <s v="United States"/>
    <x v="218"/>
    <x v="32"/>
    <x v="2"/>
    <s v="FUR-FU-10000076"/>
    <x v="0"/>
    <x v="3"/>
    <s v="24-Hour Round Wall Clock"/>
    <n v="19.98"/>
    <n v="1"/>
    <n v="8.5914000000000001"/>
    <x v="4"/>
    <x v="1"/>
  </r>
  <r>
    <s v="CA-2014-116673"/>
    <x v="256"/>
    <d v="2014-12-19T00:00:00"/>
    <x v="0"/>
    <s v="JO-15280"/>
    <s v="Jas O'Carroll"/>
    <x v="0"/>
    <s v="United States"/>
    <x v="53"/>
    <x v="2"/>
    <x v="1"/>
    <s v="FUR-FU-10003829"/>
    <x v="0"/>
    <x v="3"/>
    <s v="Stackable Trays"/>
    <n v="6.16"/>
    <n v="2"/>
    <n v="1.9712000000000001"/>
    <x v="4"/>
    <x v="5"/>
  </r>
  <r>
    <s v="CA-2014-164742"/>
    <x v="137"/>
    <d v="2014-10-18T00:00:00"/>
    <x v="0"/>
    <s v="ML-17395"/>
    <s v="Marina Lichtenstein"/>
    <x v="1"/>
    <s v="United States"/>
    <x v="174"/>
    <x v="18"/>
    <x v="2"/>
    <s v="FUR-CH-10002880"/>
    <x v="0"/>
    <x v="1"/>
    <s v="Global High-Back Leather Tilter, Burgundy"/>
    <n v="245.98"/>
    <n v="2"/>
    <n v="27.0578"/>
    <x v="2"/>
    <x v="1"/>
  </r>
  <r>
    <s v="CA-2016-134516"/>
    <x v="649"/>
    <d v="2016-09-25T00:00:00"/>
    <x v="1"/>
    <s v="FM-14215"/>
    <s v="Filia McAdams"/>
    <x v="1"/>
    <s v="United States"/>
    <x v="224"/>
    <x v="30"/>
    <x v="0"/>
    <s v="FUR-FU-10001546"/>
    <x v="0"/>
    <x v="3"/>
    <s v="Dana Swing-Arm Lamps"/>
    <n v="17.088000000000001"/>
    <n v="2"/>
    <n v="1.0680000000000001"/>
    <x v="2"/>
    <x v="4"/>
  </r>
  <r>
    <s v="CA-2016-134516"/>
    <x v="649"/>
    <d v="2016-09-25T00:00:00"/>
    <x v="1"/>
    <s v="FM-14215"/>
    <s v="Filia McAdams"/>
    <x v="1"/>
    <s v="United States"/>
    <x v="224"/>
    <x v="30"/>
    <x v="0"/>
    <s v="FUR-CH-10002880"/>
    <x v="0"/>
    <x v="1"/>
    <s v="Global High-Back Leather Tilter, Burgundy"/>
    <n v="98.391999999999996"/>
    <n v="1"/>
    <n v="-11.069100000000001"/>
    <x v="2"/>
    <x v="4"/>
  </r>
  <r>
    <s v="CA-2017-125745"/>
    <x v="254"/>
    <d v="2017-07-04T00:00:00"/>
    <x v="1"/>
    <s v="DV-13045"/>
    <s v="Darrin Van Huff"/>
    <x v="1"/>
    <s v="United States"/>
    <x v="10"/>
    <x v="9"/>
    <x v="0"/>
    <s v="FUR-FU-10001591"/>
    <x v="0"/>
    <x v="3"/>
    <s v="Advantus Panel Wall Certificate Holder - 8.5x11"/>
    <n v="19.52"/>
    <n v="2"/>
    <n v="5.3680000000000003"/>
    <x v="4"/>
    <x v="2"/>
  </r>
  <r>
    <s v="US-2016-124163"/>
    <x v="228"/>
    <d v="2016-09-30T00:00:00"/>
    <x v="1"/>
    <s v="SC-20695"/>
    <s v="Steve Chapman"/>
    <x v="1"/>
    <s v="United States"/>
    <x v="276"/>
    <x v="16"/>
    <x v="3"/>
    <s v="FUR-CH-10004218"/>
    <x v="0"/>
    <x v="1"/>
    <s v="Global Fabric Manager's Chair, Dark Gray"/>
    <n v="201.96"/>
    <n v="2"/>
    <n v="50.49"/>
    <x v="2"/>
    <x v="4"/>
  </r>
  <r>
    <s v="US-2016-124163"/>
    <x v="228"/>
    <d v="2016-09-30T00:00:00"/>
    <x v="1"/>
    <s v="SC-20695"/>
    <s v="Steve Chapman"/>
    <x v="1"/>
    <s v="United States"/>
    <x v="276"/>
    <x v="16"/>
    <x v="3"/>
    <s v="FUR-FU-10000755"/>
    <x v="0"/>
    <x v="3"/>
    <s v="Eldon Expressions Mahogany Wood Desk Collection"/>
    <n v="68.64"/>
    <n v="11"/>
    <n v="17.16"/>
    <x v="2"/>
    <x v="4"/>
  </r>
  <r>
    <s v="CA-2014-126683"/>
    <x v="189"/>
    <d v="2014-10-01T00:00:00"/>
    <x v="0"/>
    <s v="PP-18955"/>
    <s v="Paul Prost"/>
    <x v="2"/>
    <s v="United States"/>
    <x v="15"/>
    <x v="13"/>
    <x v="1"/>
    <s v="FUR-FU-10001706"/>
    <x v="0"/>
    <x v="3"/>
    <s v="Longer-Life Soft White Bulbs"/>
    <n v="6.16"/>
    <n v="2"/>
    <n v="2.9567999999999999"/>
    <x v="3"/>
    <x v="4"/>
  </r>
  <r>
    <s v="CA-2014-126683"/>
    <x v="189"/>
    <d v="2014-10-01T00:00:00"/>
    <x v="0"/>
    <s v="PP-18955"/>
    <s v="Paul Prost"/>
    <x v="2"/>
    <s v="United States"/>
    <x v="15"/>
    <x v="13"/>
    <x v="1"/>
    <s v="FUR-TA-10002958"/>
    <x v="0"/>
    <x v="2"/>
    <s v="Bevis Oval Conference Table, Walnut"/>
    <n v="2348.8200000000002"/>
    <n v="9"/>
    <n v="399.29939999999999"/>
    <x v="3"/>
    <x v="4"/>
  </r>
  <r>
    <s v="CA-2017-148810"/>
    <x v="332"/>
    <d v="2017-07-01T00:00:00"/>
    <x v="1"/>
    <s v="DR-12880"/>
    <s v="Dan Reichenbach"/>
    <x v="1"/>
    <s v="United States"/>
    <x v="89"/>
    <x v="1"/>
    <x v="0"/>
    <s v="FUR-CH-10001545"/>
    <x v="0"/>
    <x v="1"/>
    <s v="Hon Comfortask Task/Swivel Chairs"/>
    <n v="273.55200000000002"/>
    <n v="3"/>
    <n v="-13.6776"/>
    <x v="2"/>
    <x v="2"/>
  </r>
  <r>
    <s v="US-2016-146066"/>
    <x v="650"/>
    <d v="2016-08-23T00:00:00"/>
    <x v="0"/>
    <s v="RB-19465"/>
    <s v="Rick Bensley"/>
    <x v="2"/>
    <s v="United States"/>
    <x v="3"/>
    <x v="3"/>
    <x v="2"/>
    <s v="FUR-TA-10002530"/>
    <x v="0"/>
    <x v="2"/>
    <s v="Iceberg OfficeWorks 42&quot; Round Tables"/>
    <n v="815.29200000000003"/>
    <n v="9"/>
    <n v="-339.70499999999998"/>
    <x v="3"/>
    <x v="10"/>
  </r>
  <r>
    <s v="CA-2014-127614"/>
    <x v="651"/>
    <d v="2014-02-15T00:00:00"/>
    <x v="1"/>
    <s v="NF-18385"/>
    <s v="Natalie Fritzler"/>
    <x v="0"/>
    <s v="United States"/>
    <x v="180"/>
    <x v="25"/>
    <x v="0"/>
    <s v="FUR-TA-10003715"/>
    <x v="0"/>
    <x v="2"/>
    <s v="Hon 2111 Invitation Series Corner Table"/>
    <n v="1256.22"/>
    <n v="6"/>
    <n v="75.373199999999997"/>
    <x v="4"/>
    <x v="11"/>
  </r>
  <r>
    <s v="CA-2017-113208"/>
    <x v="292"/>
    <d v="2017-04-02T00:00:00"/>
    <x v="1"/>
    <s v="ML-18040"/>
    <s v="Michelle Lonsdale"/>
    <x v="1"/>
    <s v="United States"/>
    <x v="54"/>
    <x v="17"/>
    <x v="3"/>
    <s v="FUR-FU-10004245"/>
    <x v="0"/>
    <x v="3"/>
    <s v="Career Cubicle Clock, 8 1/4&quot;, Black"/>
    <n v="60.84"/>
    <n v="3"/>
    <n v="23.119199999999999"/>
    <x v="1"/>
    <x v="9"/>
  </r>
  <r>
    <s v="CA-2014-154893"/>
    <x v="652"/>
    <d v="2014-12-27T00:00:00"/>
    <x v="1"/>
    <s v="GM-14440"/>
    <s v="Gary McGarr"/>
    <x v="0"/>
    <s v="United States"/>
    <x v="53"/>
    <x v="2"/>
    <x v="1"/>
    <s v="FUR-CH-10004287"/>
    <x v="0"/>
    <x v="1"/>
    <s v="SAFCO Arco Folding Chair"/>
    <n v="1325.76"/>
    <n v="6"/>
    <n v="149.148"/>
    <x v="6"/>
    <x v="5"/>
  </r>
  <r>
    <s v="CA-2014-154893"/>
    <x v="652"/>
    <d v="2014-12-27T00:00:00"/>
    <x v="1"/>
    <s v="GM-14440"/>
    <s v="Gary McGarr"/>
    <x v="0"/>
    <s v="United States"/>
    <x v="53"/>
    <x v="2"/>
    <x v="1"/>
    <s v="FUR-CH-10000595"/>
    <x v="0"/>
    <x v="1"/>
    <s v="Safco Contoured Stacking Chairs"/>
    <n v="572.16"/>
    <n v="3"/>
    <n v="35.76"/>
    <x v="6"/>
    <x v="5"/>
  </r>
  <r>
    <s v="CA-2016-127985"/>
    <x v="610"/>
    <d v="2016-04-05T00:00:00"/>
    <x v="0"/>
    <s v="DB-12910"/>
    <s v="Daniel Byrd"/>
    <x v="2"/>
    <s v="United States"/>
    <x v="29"/>
    <x v="24"/>
    <x v="0"/>
    <s v="FUR-FU-10003274"/>
    <x v="0"/>
    <x v="3"/>
    <s v="Regeneration Desk Collection"/>
    <n v="7.04"/>
    <n v="4"/>
    <n v="3.0975999999999999"/>
    <x v="4"/>
    <x v="6"/>
  </r>
  <r>
    <s v="CA-2017-127117"/>
    <x v="438"/>
    <d v="2017-04-19T00:00:00"/>
    <x v="1"/>
    <s v="HM-14860"/>
    <s v="Harry Marie"/>
    <x v="1"/>
    <s v="United States"/>
    <x v="277"/>
    <x v="18"/>
    <x v="2"/>
    <s v="FUR-FU-10004018"/>
    <x v="0"/>
    <x v="3"/>
    <s v="Tensor Computer Mounted Lamp"/>
    <n v="74.45"/>
    <n v="5"/>
    <n v="20.101500000000001"/>
    <x v="2"/>
    <x v="6"/>
  </r>
  <r>
    <s v="CA-2015-104241"/>
    <x v="653"/>
    <d v="2015-01-09T00:00:00"/>
    <x v="1"/>
    <s v="AG-10495"/>
    <s v="Andrew Gjertsen"/>
    <x v="1"/>
    <s v="United States"/>
    <x v="166"/>
    <x v="25"/>
    <x v="0"/>
    <s v="FUR-FU-10001473"/>
    <x v="0"/>
    <x v="3"/>
    <s v="DAX Wood Document Frame"/>
    <n v="192.22"/>
    <n v="14"/>
    <n v="69.199200000000005"/>
    <x v="2"/>
    <x v="8"/>
  </r>
  <r>
    <s v="CA-2017-142342"/>
    <x v="357"/>
    <d v="2017-07-19T00:00:00"/>
    <x v="0"/>
    <s v="AJ-10795"/>
    <s v="Anthony Johnson"/>
    <x v="1"/>
    <s v="United States"/>
    <x v="278"/>
    <x v="2"/>
    <x v="1"/>
    <s v="FUR-BO-10002613"/>
    <x v="0"/>
    <x v="0"/>
    <s v="Atlantic Metals Mobile 4-Shelf Bookcases, Custom Colors"/>
    <n v="1194.165"/>
    <n v="5"/>
    <n v="210.73500000000001"/>
    <x v="3"/>
    <x v="3"/>
  </r>
  <r>
    <s v="CA-2016-145261"/>
    <x v="105"/>
    <d v="2016-12-21T00:00:00"/>
    <x v="2"/>
    <s v="AH-10120"/>
    <s v="Adrian Hane"/>
    <x v="2"/>
    <s v="United States"/>
    <x v="279"/>
    <x v="36"/>
    <x v="1"/>
    <s v="FUR-TA-10002530"/>
    <x v="0"/>
    <x v="2"/>
    <s v="Iceberg OfficeWorks 42&quot; Round Tables"/>
    <n v="377.45"/>
    <n v="5"/>
    <n v="-264.21499999999997"/>
    <x v="0"/>
    <x v="5"/>
  </r>
  <r>
    <s v="CA-2016-108875"/>
    <x v="211"/>
    <d v="2016-10-01T00:00:00"/>
    <x v="1"/>
    <s v="CL-12700"/>
    <s v="Craig Leslie"/>
    <x v="2"/>
    <s v="United States"/>
    <x v="14"/>
    <x v="12"/>
    <x v="1"/>
    <s v="FUR-FU-10002671"/>
    <x v="0"/>
    <x v="3"/>
    <s v="Electrix 20W Halogen Replacement Bulb for Zoom-In Desk Lamp"/>
    <n v="21.44"/>
    <n v="2"/>
    <n v="7.5039999999999996"/>
    <x v="1"/>
    <x v="4"/>
  </r>
  <r>
    <s v="CA-2015-141012"/>
    <x v="654"/>
    <d v="2015-06-11T00:00:00"/>
    <x v="0"/>
    <s v="TG-21640"/>
    <s v="Trudy Glocke"/>
    <x v="0"/>
    <s v="United States"/>
    <x v="280"/>
    <x v="42"/>
    <x v="1"/>
    <s v="FUR-FU-10003192"/>
    <x v="0"/>
    <x v="3"/>
    <s v="Luxo Adjustable Task Clamp Lamp"/>
    <n v="355.36"/>
    <n v="4"/>
    <n v="92.393600000000006"/>
    <x v="3"/>
    <x v="2"/>
  </r>
  <r>
    <s v="CA-2014-126802"/>
    <x v="527"/>
    <d v="2015-01-05T00:00:00"/>
    <x v="1"/>
    <s v="ZC-21910"/>
    <s v="Zuschuss Carroll"/>
    <x v="0"/>
    <s v="United States"/>
    <x v="9"/>
    <x v="8"/>
    <x v="3"/>
    <s v="FUR-FU-10000193"/>
    <x v="0"/>
    <x v="3"/>
    <s v="Tenex Chairmats For Use with Hard Floors"/>
    <n v="38.975999999999999"/>
    <n v="3"/>
    <n v="-50.668799999999997"/>
    <x v="1"/>
    <x v="5"/>
  </r>
  <r>
    <s v="CA-2014-131541"/>
    <x v="655"/>
    <d v="2014-07-28T00:00:00"/>
    <x v="3"/>
    <s v="CK-12205"/>
    <s v="Chloris Kastensmidt"/>
    <x v="0"/>
    <s v="United States"/>
    <x v="281"/>
    <x v="1"/>
    <x v="0"/>
    <s v="FUR-FU-10003623"/>
    <x v="0"/>
    <x v="3"/>
    <s v="DataProducts Ampli Magnifier Task Lamp, Black,"/>
    <n v="129.88800000000001"/>
    <n v="6"/>
    <n v="12.988799999999999"/>
    <x v="7"/>
    <x v="3"/>
  </r>
  <r>
    <s v="CA-2015-119550"/>
    <x v="626"/>
    <d v="2015-12-31T00:00:00"/>
    <x v="1"/>
    <s v="RB-19705"/>
    <s v="Roger Barcio"/>
    <x v="2"/>
    <s v="United States"/>
    <x v="6"/>
    <x v="5"/>
    <x v="3"/>
    <s v="FUR-CH-10002044"/>
    <x v="0"/>
    <x v="1"/>
    <s v="Office Star - Contemporary Task Swivel chair with 2-way adjustable arms, Plum"/>
    <n v="275.05799999999999"/>
    <n v="3"/>
    <n v="-90.376199999999997"/>
    <x v="2"/>
    <x v="5"/>
  </r>
  <r>
    <s v="US-2015-138093"/>
    <x v="479"/>
    <d v="2015-12-16T00:00:00"/>
    <x v="1"/>
    <s v="KM-16225"/>
    <s v="Kalyca Meade"/>
    <x v="1"/>
    <s v="United States"/>
    <x v="237"/>
    <x v="32"/>
    <x v="2"/>
    <s v="FUR-CH-10000785"/>
    <x v="0"/>
    <x v="1"/>
    <s v="Global Ergonomic Managers Chair"/>
    <n v="542.94000000000005"/>
    <n v="3"/>
    <n v="141.1644"/>
    <x v="6"/>
    <x v="5"/>
  </r>
  <r>
    <s v="CA-2016-126165"/>
    <x v="399"/>
    <d v="2016-05-07T00:00:00"/>
    <x v="0"/>
    <s v="AH-10465"/>
    <s v="Amy Hunt"/>
    <x v="0"/>
    <s v="United States"/>
    <x v="28"/>
    <x v="2"/>
    <x v="1"/>
    <s v="FUR-TA-10001676"/>
    <x v="0"/>
    <x v="2"/>
    <s v="Hon 61000 Series Interactive Training Tables"/>
    <n v="71.087999999999994"/>
    <n v="2"/>
    <n v="-1.7771999999999999"/>
    <x v="3"/>
    <x v="7"/>
  </r>
  <r>
    <s v="US-2014-123519"/>
    <x v="609"/>
    <d v="2014-12-21T00:00:00"/>
    <x v="1"/>
    <s v="SS-20875"/>
    <s v="Sung Shariari"/>
    <x v="0"/>
    <s v="United States"/>
    <x v="149"/>
    <x v="15"/>
    <x v="2"/>
    <s v="FUR-TA-10002645"/>
    <x v="0"/>
    <x v="2"/>
    <s v="Hon Rectangular Conference Tables"/>
    <n v="136.53"/>
    <n v="1"/>
    <n v="-52.336500000000001"/>
    <x v="1"/>
    <x v="5"/>
  </r>
  <r>
    <s v="US-2015-160857"/>
    <x v="190"/>
    <d v="2015-05-15T00:00:00"/>
    <x v="1"/>
    <s v="NW-18400"/>
    <s v="Natalie Webber"/>
    <x v="0"/>
    <s v="United States"/>
    <x v="13"/>
    <x v="7"/>
    <x v="2"/>
    <s v="FUR-FU-10001095"/>
    <x v="0"/>
    <x v="3"/>
    <s v="DAX Black Cherry Wood-Tone Poster Frame"/>
    <n v="79.44"/>
    <n v="3"/>
    <n v="30.187200000000001"/>
    <x v="1"/>
    <x v="7"/>
  </r>
  <r>
    <s v="US-2015-160857"/>
    <x v="190"/>
    <d v="2015-05-15T00:00:00"/>
    <x v="1"/>
    <s v="NW-18400"/>
    <s v="Natalie Webber"/>
    <x v="0"/>
    <s v="United States"/>
    <x v="13"/>
    <x v="7"/>
    <x v="2"/>
    <s v="FUR-CH-10002647"/>
    <x v="0"/>
    <x v="1"/>
    <s v="Situations Contoured Folding Chairs, 4/Set"/>
    <n v="127.764"/>
    <n v="2"/>
    <n v="21.294"/>
    <x v="1"/>
    <x v="7"/>
  </r>
  <r>
    <s v="CA-2017-117324"/>
    <x v="64"/>
    <d v="2017-12-13T00:00:00"/>
    <x v="1"/>
    <s v="JP-15520"/>
    <s v="Jeremy Pistek"/>
    <x v="0"/>
    <s v="United States"/>
    <x v="123"/>
    <x v="16"/>
    <x v="3"/>
    <s v="FUR-BO-10003159"/>
    <x v="0"/>
    <x v="0"/>
    <s v="Sauder Camden County Collection Libraries, Planked Cherry Finish"/>
    <n v="459.92"/>
    <n v="4"/>
    <n v="41.392800000000001"/>
    <x v="2"/>
    <x v="5"/>
  </r>
  <r>
    <s v="CA-2017-143574"/>
    <x v="656"/>
    <d v="2017-07-02T00:00:00"/>
    <x v="2"/>
    <s v="DR-12880"/>
    <s v="Dan Reichenbach"/>
    <x v="1"/>
    <s v="United States"/>
    <x v="282"/>
    <x v="19"/>
    <x v="2"/>
    <s v="FUR-BO-10002598"/>
    <x v="0"/>
    <x v="0"/>
    <s v="Hon Metal Bookcases, Putty"/>
    <n v="638.82000000000005"/>
    <n v="9"/>
    <n v="185.2578"/>
    <x v="0"/>
    <x v="2"/>
  </r>
  <r>
    <s v="CA-2017-143574"/>
    <x v="656"/>
    <d v="2017-07-02T00:00:00"/>
    <x v="2"/>
    <s v="DR-12880"/>
    <s v="Dan Reichenbach"/>
    <x v="1"/>
    <s v="United States"/>
    <x v="282"/>
    <x v="19"/>
    <x v="2"/>
    <s v="FUR-FU-10003976"/>
    <x v="0"/>
    <x v="3"/>
    <s v="DAX Executive Solid Wood Document Frame, Desktop or Hang, Mahogany, 5 x 7"/>
    <n v="25.16"/>
    <n v="2"/>
    <n v="8.5543999999999993"/>
    <x v="0"/>
    <x v="2"/>
  </r>
  <r>
    <s v="CA-2014-148614"/>
    <x v="187"/>
    <d v="2014-01-25T00:00:00"/>
    <x v="1"/>
    <s v="MV-17485"/>
    <s v="Mark Van Huff"/>
    <x v="0"/>
    <s v="United States"/>
    <x v="2"/>
    <x v="2"/>
    <x v="1"/>
    <s v="FUR-FU-10003194"/>
    <x v="0"/>
    <x v="3"/>
    <s v="Eldon Expressions Desk Accessory, Wood Pencil Holder, Oak"/>
    <n v="19.3"/>
    <n v="2"/>
    <n v="5.79"/>
    <x v="2"/>
    <x v="8"/>
  </r>
  <r>
    <s v="US-2017-147886"/>
    <x v="657"/>
    <d v="2017-03-31T00:00:00"/>
    <x v="2"/>
    <s v="DH-13075"/>
    <s v="Dave Hallsten"/>
    <x v="1"/>
    <s v="United States"/>
    <x v="130"/>
    <x v="2"/>
    <x v="1"/>
    <s v="FUR-FU-10001095"/>
    <x v="0"/>
    <x v="3"/>
    <s v="DAX Black Cherry Wood-Tone Poster Frame"/>
    <n v="26.48"/>
    <n v="1"/>
    <n v="10.0624"/>
    <x v="0"/>
    <x v="9"/>
  </r>
  <r>
    <s v="US-2017-147886"/>
    <x v="657"/>
    <d v="2017-03-31T00:00:00"/>
    <x v="2"/>
    <s v="DH-13075"/>
    <s v="Dave Hallsten"/>
    <x v="1"/>
    <s v="United States"/>
    <x v="130"/>
    <x v="2"/>
    <x v="1"/>
    <s v="FUR-FU-10003829"/>
    <x v="0"/>
    <x v="3"/>
    <s v="Stackable Trays"/>
    <n v="21.56"/>
    <n v="7"/>
    <n v="6.8992000000000004"/>
    <x v="0"/>
    <x v="9"/>
  </r>
  <r>
    <s v="CA-2014-145800"/>
    <x v="658"/>
    <d v="2014-06-05T00:00:00"/>
    <x v="1"/>
    <s v="SS-20410"/>
    <s v="Shahid Shariari"/>
    <x v="0"/>
    <s v="United States"/>
    <x v="283"/>
    <x v="8"/>
    <x v="3"/>
    <s v="FUR-TA-10001539"/>
    <x v="0"/>
    <x v="2"/>
    <s v="Chromcraft Rectangular Conference Tables"/>
    <n v="355.45499999999998"/>
    <n v="3"/>
    <n v="-184.8366"/>
    <x v="6"/>
    <x v="7"/>
  </r>
  <r>
    <s v="CA-2016-118514"/>
    <x v="659"/>
    <d v="2016-02-10T00:00:00"/>
    <x v="1"/>
    <s v="LC-17050"/>
    <s v="Liz Carlisle"/>
    <x v="0"/>
    <s v="United States"/>
    <x v="52"/>
    <x v="0"/>
    <x v="0"/>
    <s v="FUR-CH-10000015"/>
    <x v="0"/>
    <x v="1"/>
    <s v="Hon Multipurpose Stacking Arm Chairs"/>
    <n v="866.4"/>
    <n v="4"/>
    <n v="225.26400000000001"/>
    <x v="1"/>
    <x v="11"/>
  </r>
  <r>
    <s v="CA-2015-119634"/>
    <x v="660"/>
    <d v="2015-08-16T00:00:00"/>
    <x v="1"/>
    <s v="BW-11065"/>
    <s v="Barry Weirich"/>
    <x v="0"/>
    <s v="United States"/>
    <x v="168"/>
    <x v="30"/>
    <x v="0"/>
    <s v="FUR-FU-10004270"/>
    <x v="0"/>
    <x v="3"/>
    <s v="Executive Impressions 13&quot; Clairmont Wall Clock"/>
    <n v="46.152000000000001"/>
    <n v="3"/>
    <n v="12.1149"/>
    <x v="2"/>
    <x v="10"/>
  </r>
  <r>
    <s v="CA-2017-158169"/>
    <x v="661"/>
    <d v="2017-08-15T00:00:00"/>
    <x v="2"/>
    <s v="JM-16195"/>
    <s v="Justin MacKendrick"/>
    <x v="0"/>
    <s v="United States"/>
    <x v="284"/>
    <x v="2"/>
    <x v="1"/>
    <s v="FUR-FU-10001473"/>
    <x v="0"/>
    <x v="3"/>
    <s v="DAX Wood Document Frame"/>
    <n v="54.92"/>
    <n v="4"/>
    <n v="19.7712"/>
    <x v="0"/>
    <x v="10"/>
  </r>
  <r>
    <s v="CA-2015-162047"/>
    <x v="240"/>
    <d v="2015-11-05T00:00:00"/>
    <x v="2"/>
    <s v="FH-14365"/>
    <s v="Fred Hopkins"/>
    <x v="1"/>
    <s v="United States"/>
    <x v="62"/>
    <x v="7"/>
    <x v="2"/>
    <s v="FUR-CH-10004983"/>
    <x v="0"/>
    <x v="1"/>
    <s v="Office Star - Mid Back Dual function Ergonomic High Back Chair with 2-Way Adjustable Arms"/>
    <n v="1448.82"/>
    <n v="10"/>
    <n v="209.274"/>
    <x v="3"/>
    <x v="0"/>
  </r>
  <r>
    <s v="CA-2015-103835"/>
    <x v="262"/>
    <d v="2015-09-28T00:00:00"/>
    <x v="1"/>
    <s v="SC-20440"/>
    <s v="Shaun Chance"/>
    <x v="1"/>
    <s v="United States"/>
    <x v="2"/>
    <x v="2"/>
    <x v="1"/>
    <s v="FUR-FU-10000010"/>
    <x v="0"/>
    <x v="3"/>
    <s v="DAX Value U-Channel Document Frames, Easel Back"/>
    <n v="14.91"/>
    <n v="3"/>
    <n v="4.6220999999999997"/>
    <x v="4"/>
    <x v="4"/>
  </r>
  <r>
    <s v="CA-2016-142398"/>
    <x v="188"/>
    <d v="2016-04-16T00:00:00"/>
    <x v="1"/>
    <s v="BP-11290"/>
    <s v="Beth Paige"/>
    <x v="0"/>
    <s v="United States"/>
    <x v="2"/>
    <x v="2"/>
    <x v="1"/>
    <s v="FUR-CH-10001545"/>
    <x v="0"/>
    <x v="1"/>
    <s v="Hon Comfortask Task/Swivel Chairs"/>
    <n v="638.28800000000001"/>
    <n v="7"/>
    <n v="-31.914400000000001"/>
    <x v="4"/>
    <x v="6"/>
  </r>
  <r>
    <s v="CA-2014-105270"/>
    <x v="163"/>
    <d v="2014-11-18T00:00:00"/>
    <x v="1"/>
    <s v="AP-10915"/>
    <s v="Arthur Prichep"/>
    <x v="0"/>
    <s v="United States"/>
    <x v="2"/>
    <x v="2"/>
    <x v="1"/>
    <s v="FUR-CH-10000988"/>
    <x v="0"/>
    <x v="1"/>
    <s v="Hon Olson Stacker Stools"/>
    <n v="112.648"/>
    <n v="1"/>
    <n v="11.264799999999999"/>
    <x v="1"/>
    <x v="0"/>
  </r>
  <r>
    <s v="CA-2017-141117"/>
    <x v="125"/>
    <d v="2017-10-08T00:00:00"/>
    <x v="1"/>
    <s v="JK-16090"/>
    <s v="Juliana Krohn"/>
    <x v="0"/>
    <s v="United States"/>
    <x v="76"/>
    <x v="36"/>
    <x v="1"/>
    <s v="FUR-BO-10001972"/>
    <x v="0"/>
    <x v="0"/>
    <s v="O'Sullivan 4-Shelf Bookcase in Odessa Pine"/>
    <n v="217.76400000000001"/>
    <n v="6"/>
    <n v="-384.71640000000002"/>
    <x v="6"/>
    <x v="1"/>
  </r>
  <r>
    <s v="CA-2017-115070"/>
    <x v="662"/>
    <d v="2017-04-14T00:00:00"/>
    <x v="0"/>
    <s v="MG-18205"/>
    <s v="Mitch Gastineau"/>
    <x v="1"/>
    <s v="United States"/>
    <x v="51"/>
    <x v="1"/>
    <x v="0"/>
    <s v="FUR-FU-10003829"/>
    <x v="0"/>
    <x v="3"/>
    <s v="Stackable Trays"/>
    <n v="12.32"/>
    <n v="5"/>
    <n v="1.8480000000000001"/>
    <x v="4"/>
    <x v="6"/>
  </r>
  <r>
    <s v="CA-2017-140186"/>
    <x v="560"/>
    <d v="2017-10-02T00:00:00"/>
    <x v="2"/>
    <s v="PG-18820"/>
    <s v="Patrick Gardner"/>
    <x v="0"/>
    <s v="United States"/>
    <x v="175"/>
    <x v="2"/>
    <x v="1"/>
    <s v="FUR-CH-10002961"/>
    <x v="0"/>
    <x v="1"/>
    <s v="Leather Task Chair, Black"/>
    <n v="72.784000000000006"/>
    <n v="1"/>
    <n v="0"/>
    <x v="0"/>
    <x v="4"/>
  </r>
  <r>
    <s v="CA-2017-140186"/>
    <x v="560"/>
    <d v="2017-10-02T00:00:00"/>
    <x v="2"/>
    <s v="PG-18820"/>
    <s v="Patrick Gardner"/>
    <x v="0"/>
    <s v="United States"/>
    <x v="175"/>
    <x v="2"/>
    <x v="1"/>
    <s v="FUR-FU-10004848"/>
    <x v="0"/>
    <x v="3"/>
    <s v="Howard Miller 13-3/4&quot; Diameter Brushed Chrome Round Wall Clock"/>
    <n v="51.75"/>
    <n v="1"/>
    <n v="15.525"/>
    <x v="0"/>
    <x v="4"/>
  </r>
  <r>
    <s v="CA-2014-124856"/>
    <x v="189"/>
    <d v="2014-10-03T00:00:00"/>
    <x v="0"/>
    <s v="LD-17005"/>
    <s v="Lisa DeCherney"/>
    <x v="0"/>
    <s v="United States"/>
    <x v="13"/>
    <x v="7"/>
    <x v="2"/>
    <s v="FUR-FU-10000521"/>
    <x v="0"/>
    <x v="3"/>
    <s v="Seth Thomas 14&quot; Putty-Colored Wall Clock"/>
    <n v="117.36"/>
    <n v="4"/>
    <n v="36.381599999999999"/>
    <x v="4"/>
    <x v="4"/>
  </r>
  <r>
    <s v="CA-2014-166716"/>
    <x v="663"/>
    <d v="2014-08-25T00:00:00"/>
    <x v="0"/>
    <s v="CR-12730"/>
    <s v="Craig Reiter"/>
    <x v="0"/>
    <s v="United States"/>
    <x v="9"/>
    <x v="8"/>
    <x v="3"/>
    <s v="FUR-CH-10004495"/>
    <x v="0"/>
    <x v="1"/>
    <s v="Global Leather and Oak Executive Chair, Black"/>
    <n v="421.37200000000001"/>
    <n v="2"/>
    <n v="-6.0195999999999996"/>
    <x v="2"/>
    <x v="10"/>
  </r>
  <r>
    <s v="CA-2017-113873"/>
    <x v="596"/>
    <d v="2017-11-19T00:00:00"/>
    <x v="1"/>
    <s v="KE-16420"/>
    <s v="Katrina Edelman"/>
    <x v="1"/>
    <s v="United States"/>
    <x v="144"/>
    <x v="5"/>
    <x v="3"/>
    <s v="FUR-BO-10003441"/>
    <x v="0"/>
    <x v="0"/>
    <s v="Bush Westfield Collection Bookcases, Fully Assembled"/>
    <n v="205.9992"/>
    <n v="3"/>
    <n v="-27.264600000000002"/>
    <x v="6"/>
    <x v="0"/>
  </r>
  <r>
    <s v="CA-2016-125017"/>
    <x v="664"/>
    <d v="2016-02-11T00:00:00"/>
    <x v="1"/>
    <s v="KB-16240"/>
    <s v="Karen Bern"/>
    <x v="1"/>
    <s v="United States"/>
    <x v="196"/>
    <x v="9"/>
    <x v="0"/>
    <s v="FUR-FU-10000723"/>
    <x v="0"/>
    <x v="3"/>
    <s v="Deflect-o EconoMat Studded, No Bevel Mat for Low Pile Carpeting"/>
    <n v="132.22399999999999"/>
    <n v="4"/>
    <n v="-18.180800000000001"/>
    <x v="2"/>
    <x v="11"/>
  </r>
  <r>
    <s v="US-2015-163279"/>
    <x v="665"/>
    <d v="2015-03-26T00:00:00"/>
    <x v="1"/>
    <s v="JD-16150"/>
    <s v="Justin Deggeller"/>
    <x v="1"/>
    <s v="United States"/>
    <x v="53"/>
    <x v="2"/>
    <x v="1"/>
    <s v="FUR-FU-10000747"/>
    <x v="0"/>
    <x v="3"/>
    <s v="Tenex B1-RE Series Chair Mats for Low Pile Carpets"/>
    <n v="91.96"/>
    <n v="2"/>
    <n v="15.6332"/>
    <x v="4"/>
    <x v="9"/>
  </r>
  <r>
    <s v="CA-2017-117632"/>
    <x v="666"/>
    <d v="2017-05-18T00:00:00"/>
    <x v="1"/>
    <s v="CS-12175"/>
    <s v="Charles Sheldon"/>
    <x v="1"/>
    <s v="United States"/>
    <x v="28"/>
    <x v="2"/>
    <x v="1"/>
    <s v="FUR-TA-10001520"/>
    <x v="0"/>
    <x v="2"/>
    <s v="Lesro Sheffield Collection Coffee Table, End Table, Center Table, Corner Table"/>
    <n v="285.48"/>
    <n v="5"/>
    <n v="-10.705500000000001"/>
    <x v="6"/>
    <x v="7"/>
  </r>
  <r>
    <s v="CA-2017-161067"/>
    <x v="667"/>
    <d v="2017-09-06T00:00:00"/>
    <x v="0"/>
    <s v="KB-16405"/>
    <s v="Katrina Bavinger"/>
    <x v="2"/>
    <s v="United States"/>
    <x v="13"/>
    <x v="7"/>
    <x v="2"/>
    <s v="FUR-CH-10004626"/>
    <x v="0"/>
    <x v="1"/>
    <s v="Office Star Flex Back Scooter Chair with Aluminum Finish Frame"/>
    <n v="90.801000000000002"/>
    <n v="1"/>
    <n v="14.124599999999999"/>
    <x v="0"/>
    <x v="4"/>
  </r>
  <r>
    <s v="CA-2017-161067"/>
    <x v="667"/>
    <d v="2017-09-06T00:00:00"/>
    <x v="0"/>
    <s v="KB-16405"/>
    <s v="Katrina Bavinger"/>
    <x v="2"/>
    <s v="United States"/>
    <x v="13"/>
    <x v="7"/>
    <x v="2"/>
    <s v="FUR-CH-10004860"/>
    <x v="0"/>
    <x v="1"/>
    <s v="Global Low Back Tilter Chair"/>
    <n v="181.76400000000001"/>
    <n v="2"/>
    <n v="-8.0784000000000002"/>
    <x v="0"/>
    <x v="4"/>
  </r>
  <r>
    <s v="CA-2016-122063"/>
    <x v="122"/>
    <d v="2016-12-07T00:00:00"/>
    <x v="1"/>
    <s v="MM-17920"/>
    <s v="Michael Moore"/>
    <x v="0"/>
    <s v="United States"/>
    <x v="52"/>
    <x v="6"/>
    <x v="3"/>
    <s v="FUR-TA-10004575"/>
    <x v="0"/>
    <x v="2"/>
    <s v="Hon 5100 Series Wood Tables"/>
    <n v="581.96"/>
    <n v="2"/>
    <n v="104.75279999999999"/>
    <x v="4"/>
    <x v="5"/>
  </r>
  <r>
    <s v="CA-2016-122063"/>
    <x v="122"/>
    <d v="2016-12-07T00:00:00"/>
    <x v="1"/>
    <s v="MM-17920"/>
    <s v="Michael Moore"/>
    <x v="0"/>
    <s v="United States"/>
    <x v="52"/>
    <x v="6"/>
    <x v="3"/>
    <s v="FUR-CH-10004754"/>
    <x v="0"/>
    <x v="1"/>
    <s v="Global Stack Chair with Arms, Black"/>
    <n v="29.98"/>
    <n v="1"/>
    <n v="8.0945999999999998"/>
    <x v="4"/>
    <x v="5"/>
  </r>
  <r>
    <s v="CA-2016-142895"/>
    <x v="668"/>
    <d v="2016-07-26T00:00:00"/>
    <x v="1"/>
    <s v="BP-11290"/>
    <s v="Beth Paige"/>
    <x v="0"/>
    <s v="United States"/>
    <x v="41"/>
    <x v="30"/>
    <x v="0"/>
    <s v="FUR-CH-10002961"/>
    <x v="0"/>
    <x v="1"/>
    <s v="Leather Task Chair, Black"/>
    <n v="363.92"/>
    <n v="5"/>
    <n v="0"/>
    <x v="2"/>
    <x v="3"/>
  </r>
  <r>
    <s v="CA-2015-134992"/>
    <x v="159"/>
    <d v="2015-09-26T00:00:00"/>
    <x v="0"/>
    <s v="MG-17875"/>
    <s v="Michael Grace"/>
    <x v="2"/>
    <s v="United States"/>
    <x v="58"/>
    <x v="25"/>
    <x v="0"/>
    <s v="FUR-FU-10002554"/>
    <x v="0"/>
    <x v="3"/>
    <s v="Westinghouse Floor Lamp with Metal Mesh Shade, Black"/>
    <n v="47.98"/>
    <n v="2"/>
    <n v="11.035399999999999"/>
    <x v="4"/>
    <x v="4"/>
  </r>
  <r>
    <s v="CA-2015-126725"/>
    <x v="669"/>
    <d v="2015-11-21T00:00:00"/>
    <x v="1"/>
    <s v="BS-11665"/>
    <s v="Brian Stugart"/>
    <x v="0"/>
    <s v="United States"/>
    <x v="53"/>
    <x v="2"/>
    <x v="1"/>
    <s v="FUR-FU-10002813"/>
    <x v="0"/>
    <x v="3"/>
    <s v="DAX Contemporary Wood Frame with Silver Metal Mat, Desktop, 11 x 14 Size"/>
    <n v="80.959999999999994"/>
    <n v="4"/>
    <n v="29.145600000000002"/>
    <x v="4"/>
    <x v="0"/>
  </r>
  <r>
    <s v="CA-2015-126725"/>
    <x v="669"/>
    <d v="2015-11-21T00:00:00"/>
    <x v="1"/>
    <s v="BS-11665"/>
    <s v="Brian Stugart"/>
    <x v="0"/>
    <s v="United States"/>
    <x v="53"/>
    <x v="2"/>
    <x v="1"/>
    <s v="FUR-CH-10001708"/>
    <x v="0"/>
    <x v="1"/>
    <s v="Office Star - Contemporary Swivel Chair with Padded Adjustable Arms and Flex Back"/>
    <n v="225.56800000000001"/>
    <n v="2"/>
    <n v="2.8195999999999999"/>
    <x v="4"/>
    <x v="0"/>
  </r>
  <r>
    <s v="CA-2015-126725"/>
    <x v="669"/>
    <d v="2015-11-21T00:00:00"/>
    <x v="1"/>
    <s v="BS-11665"/>
    <s v="Brian Stugart"/>
    <x v="0"/>
    <s v="United States"/>
    <x v="53"/>
    <x v="2"/>
    <x v="1"/>
    <s v="FUR-FU-10001591"/>
    <x v="0"/>
    <x v="3"/>
    <s v="Advantus Panel Wall Certificate Holder - 8.5x11"/>
    <n v="36.6"/>
    <n v="3"/>
    <n v="15.372"/>
    <x v="4"/>
    <x v="0"/>
  </r>
  <r>
    <s v="CA-2015-121783"/>
    <x v="670"/>
    <d v="2015-11-14T00:00:00"/>
    <x v="1"/>
    <s v="PO-19180"/>
    <s v="Philisse Overcash"/>
    <x v="2"/>
    <s v="United States"/>
    <x v="18"/>
    <x v="11"/>
    <x v="3"/>
    <s v="FUR-FU-10004351"/>
    <x v="0"/>
    <x v="3"/>
    <s v="Staple-based wall hangings"/>
    <n v="29.22"/>
    <n v="3"/>
    <n v="12.8568"/>
    <x v="4"/>
    <x v="0"/>
  </r>
  <r>
    <s v="CA-2015-112214"/>
    <x v="671"/>
    <d v="2015-08-11T00:00:00"/>
    <x v="1"/>
    <s v="AH-10690"/>
    <s v="Anna HŠberlin"/>
    <x v="1"/>
    <s v="United States"/>
    <x v="144"/>
    <x v="5"/>
    <x v="3"/>
    <s v="FUR-FU-10002364"/>
    <x v="0"/>
    <x v="3"/>
    <s v="Eldon Expressions Wood Desk Accessories, Oak"/>
    <n v="14.76"/>
    <n v="5"/>
    <n v="-11.439"/>
    <x v="6"/>
    <x v="10"/>
  </r>
  <r>
    <s v="US-2017-153255"/>
    <x v="667"/>
    <d v="2017-09-07T00:00:00"/>
    <x v="0"/>
    <s v="JK-15730"/>
    <s v="Joe Kamberova"/>
    <x v="0"/>
    <s v="United States"/>
    <x v="41"/>
    <x v="2"/>
    <x v="1"/>
    <s v="FUR-BO-10004218"/>
    <x v="0"/>
    <x v="0"/>
    <s v="Bush Heritage Pine Collection 5-Shelf Bookcase, Albany Pine Finish, *Special Order"/>
    <n v="239.666"/>
    <n v="2"/>
    <n v="14.098000000000001"/>
    <x v="4"/>
    <x v="4"/>
  </r>
  <r>
    <s v="CA-2015-108119"/>
    <x v="341"/>
    <d v="2015-11-08T00:00:00"/>
    <x v="1"/>
    <s v="MS-17530"/>
    <s v="MaryBeth Skach"/>
    <x v="0"/>
    <s v="United States"/>
    <x v="285"/>
    <x v="31"/>
    <x v="0"/>
    <s v="FUR-TA-10002530"/>
    <x v="0"/>
    <x v="2"/>
    <s v="Iceberg OfficeWorks 42&quot; Round Tables"/>
    <n v="301.95999999999998"/>
    <n v="2"/>
    <n v="45.293999999999997"/>
    <x v="1"/>
    <x v="0"/>
  </r>
  <r>
    <s v="US-2014-117968"/>
    <x v="31"/>
    <d v="2014-08-07T00:00:00"/>
    <x v="0"/>
    <s v="RS-19420"/>
    <s v="Ricardo Sperren"/>
    <x v="1"/>
    <s v="United States"/>
    <x v="286"/>
    <x v="19"/>
    <x v="2"/>
    <s v="FUR-CH-10002335"/>
    <x v="0"/>
    <x v="1"/>
    <s v="Hon GuestStacker Chair"/>
    <n v="1133.3499999999999"/>
    <n v="5"/>
    <n v="294.67099999999999"/>
    <x v="3"/>
    <x v="10"/>
  </r>
  <r>
    <s v="CA-2016-152247"/>
    <x v="267"/>
    <d v="2016-11-12T00:00:00"/>
    <x v="1"/>
    <s v="MA-17995"/>
    <s v="Michelle Arnett"/>
    <x v="2"/>
    <s v="United States"/>
    <x v="287"/>
    <x v="45"/>
    <x v="1"/>
    <s v="FUR-CH-10001215"/>
    <x v="0"/>
    <x v="1"/>
    <s v="Global Troy Executive Leather Low-Back Tilter"/>
    <n v="1603.136"/>
    <n v="4"/>
    <n v="100.196"/>
    <x v="2"/>
    <x v="0"/>
  </r>
  <r>
    <s v="CA-2016-128223"/>
    <x v="184"/>
    <d v="2016-06-14T00:00:00"/>
    <x v="3"/>
    <s v="EB-13705"/>
    <s v="Ed Braxton"/>
    <x v="1"/>
    <s v="United States"/>
    <x v="261"/>
    <x v="2"/>
    <x v="1"/>
    <s v="FUR-TA-10001771"/>
    <x v="0"/>
    <x v="2"/>
    <s v="Bush Cubix Conference Tables, Fully Assembled"/>
    <n v="1293.4880000000001"/>
    <n v="7"/>
    <n v="80.843000000000004"/>
    <x v="7"/>
    <x v="2"/>
  </r>
  <r>
    <s v="CA-2016-154235"/>
    <x v="211"/>
    <d v="2016-09-28T00:00:00"/>
    <x v="1"/>
    <s v="RD-19900"/>
    <s v="Ruben Dartt"/>
    <x v="0"/>
    <s v="United States"/>
    <x v="17"/>
    <x v="6"/>
    <x v="3"/>
    <s v="FUR-FU-10004006"/>
    <x v="0"/>
    <x v="3"/>
    <s v="Deflect-o DuraMat Lighweight, Studded, Beveled Mat for Low Pile Carpeting"/>
    <n v="127.95"/>
    <n v="3"/>
    <n v="21.7515"/>
    <x v="4"/>
    <x v="4"/>
  </r>
  <r>
    <s v="CA-2016-133935"/>
    <x v="126"/>
    <d v="2016-09-22T00:00:00"/>
    <x v="1"/>
    <s v="JW-15220"/>
    <s v="Jane Waco"/>
    <x v="1"/>
    <s v="United States"/>
    <x v="53"/>
    <x v="2"/>
    <x v="1"/>
    <s v="FUR-CH-10001215"/>
    <x v="0"/>
    <x v="1"/>
    <s v="Global Troy Executive Leather Low-Back Tilter"/>
    <n v="801.56799999999998"/>
    <n v="2"/>
    <n v="50.097999999999999"/>
    <x v="4"/>
    <x v="4"/>
  </r>
  <r>
    <s v="CA-2016-133935"/>
    <x v="126"/>
    <d v="2016-09-22T00:00:00"/>
    <x v="1"/>
    <s v="JW-15220"/>
    <s v="Jane Waco"/>
    <x v="1"/>
    <s v="United States"/>
    <x v="53"/>
    <x v="2"/>
    <x v="1"/>
    <s v="FUR-CH-10002880"/>
    <x v="0"/>
    <x v="1"/>
    <s v="Global High-Back Leather Tilter, Burgundy"/>
    <n v="885.52800000000002"/>
    <n v="9"/>
    <n v="-99.621899999999997"/>
    <x v="4"/>
    <x v="4"/>
  </r>
  <r>
    <s v="CA-2016-136301"/>
    <x v="345"/>
    <d v="2016-03-15T00:00:00"/>
    <x v="0"/>
    <s v="EH-13765"/>
    <s v="Edward Hooks"/>
    <x v="1"/>
    <s v="United States"/>
    <x v="28"/>
    <x v="2"/>
    <x v="1"/>
    <s v="FUR-FU-10004712"/>
    <x v="0"/>
    <x v="3"/>
    <s v="Westinghouse Mesh Shade Clip-On Gooseneck Lamp, Black"/>
    <n v="28.28"/>
    <n v="2"/>
    <n v="7.3528000000000002"/>
    <x v="3"/>
    <x v="9"/>
  </r>
  <r>
    <s v="CA-2016-167682"/>
    <x v="672"/>
    <d v="2016-04-09T00:00:00"/>
    <x v="1"/>
    <s v="ZD-21925"/>
    <s v="Zuschuss Donatelli"/>
    <x v="0"/>
    <s v="United States"/>
    <x v="52"/>
    <x v="6"/>
    <x v="3"/>
    <s v="FUR-FU-10003799"/>
    <x v="0"/>
    <x v="3"/>
    <s v="Seth Thomas 13 1/2&quot; Wall Clock"/>
    <n v="71.12"/>
    <n v="4"/>
    <n v="22.0472"/>
    <x v="6"/>
    <x v="6"/>
  </r>
  <r>
    <s v="CA-2016-159639"/>
    <x v="673"/>
    <d v="2016-12-02T00:00:00"/>
    <x v="1"/>
    <s v="PC-18745"/>
    <s v="Pamela Coakley"/>
    <x v="1"/>
    <s v="United States"/>
    <x v="162"/>
    <x v="18"/>
    <x v="2"/>
    <s v="FUR-FU-10001889"/>
    <x v="0"/>
    <x v="3"/>
    <s v="Ultra Door Pull Handle"/>
    <n v="31.56"/>
    <n v="3"/>
    <n v="10.4148"/>
    <x v="2"/>
    <x v="0"/>
  </r>
  <r>
    <s v="US-2016-113985"/>
    <x v="674"/>
    <d v="2016-12-07T00:00:00"/>
    <x v="1"/>
    <s v="KD-16495"/>
    <s v="Keith Dawkins"/>
    <x v="1"/>
    <s v="United States"/>
    <x v="124"/>
    <x v="2"/>
    <x v="1"/>
    <s v="FUR-FU-10003026"/>
    <x v="0"/>
    <x v="3"/>
    <s v="Eldon Regeneration Recycled Desk Accessories, Black"/>
    <n v="14.52"/>
    <n v="3"/>
    <n v="5.6627999999999998"/>
    <x v="2"/>
    <x v="5"/>
  </r>
  <r>
    <s v="US-2015-126977"/>
    <x v="5"/>
    <d v="2015-09-23T00:00:00"/>
    <x v="1"/>
    <s v="PF-19120"/>
    <s v="Peter Fuller"/>
    <x v="0"/>
    <s v="United States"/>
    <x v="13"/>
    <x v="7"/>
    <x v="2"/>
    <s v="FUR-CH-10001973"/>
    <x v="0"/>
    <x v="1"/>
    <s v="Office Star Flex Back Scooter Chair with White Frame"/>
    <n v="199.76400000000001"/>
    <n v="2"/>
    <n v="8.8783999999999992"/>
    <x v="6"/>
    <x v="4"/>
  </r>
  <r>
    <s v="US-2015-126977"/>
    <x v="5"/>
    <d v="2015-09-23T00:00:00"/>
    <x v="1"/>
    <s v="PF-19120"/>
    <s v="Peter Fuller"/>
    <x v="0"/>
    <s v="United States"/>
    <x v="13"/>
    <x v="7"/>
    <x v="2"/>
    <s v="FUR-BO-10004834"/>
    <x v="0"/>
    <x v="0"/>
    <s v="Riverside Palais Royal Lawyers Bookcase, Royale Cherry Finish"/>
    <n v="4228.7039999999997"/>
    <n v="6"/>
    <n v="158.57640000000001"/>
    <x v="6"/>
    <x v="4"/>
  </r>
  <r>
    <s v="US-2015-126977"/>
    <x v="5"/>
    <d v="2015-09-23T00:00:00"/>
    <x v="1"/>
    <s v="PF-19120"/>
    <s v="Peter Fuller"/>
    <x v="0"/>
    <s v="United States"/>
    <x v="13"/>
    <x v="7"/>
    <x v="2"/>
    <s v="FUR-BO-10002213"/>
    <x v="0"/>
    <x v="0"/>
    <s v="DMI Eclipse Executive Suite Bookcases"/>
    <n v="2003.92"/>
    <n v="5"/>
    <n v="-25.048999999999999"/>
    <x v="6"/>
    <x v="4"/>
  </r>
  <r>
    <s v="CA-2016-130288"/>
    <x v="675"/>
    <d v="2016-11-30T00:00:00"/>
    <x v="0"/>
    <s v="DK-13225"/>
    <s v="Dean Katz"/>
    <x v="1"/>
    <s v="United States"/>
    <x v="13"/>
    <x v="7"/>
    <x v="2"/>
    <s v="FUR-TA-10002958"/>
    <x v="0"/>
    <x v="2"/>
    <s v="Bevis Oval Conference Table, Walnut"/>
    <n v="313.17599999999999"/>
    <n v="2"/>
    <n v="-120.0508"/>
    <x v="4"/>
    <x v="0"/>
  </r>
  <r>
    <s v="US-2014-118997"/>
    <x v="676"/>
    <d v="2014-04-12T00:00:00"/>
    <x v="1"/>
    <s v="RA-19885"/>
    <s v="Ruben Ausman"/>
    <x v="1"/>
    <s v="United States"/>
    <x v="42"/>
    <x v="33"/>
    <x v="0"/>
    <s v="FUR-TA-10001086"/>
    <x v="0"/>
    <x v="2"/>
    <s v="SAFCO PlanMaster Boards, 60w x 37-1/2d, White Melamine"/>
    <n v="1215.92"/>
    <n v="8"/>
    <n v="316.13920000000002"/>
    <x v="4"/>
    <x v="6"/>
  </r>
  <r>
    <s v="CA-2014-114314"/>
    <x v="524"/>
    <d v="2014-10-15T00:00:00"/>
    <x v="1"/>
    <s v="DB-13555"/>
    <s v="Dorothy Badders"/>
    <x v="1"/>
    <s v="United States"/>
    <x v="160"/>
    <x v="31"/>
    <x v="0"/>
    <s v="FUR-FU-10002107"/>
    <x v="0"/>
    <x v="3"/>
    <s v="Eldon Pizzaz Desk Accessories"/>
    <n v="8.92"/>
    <n v="4"/>
    <n v="3.9247999999999998"/>
    <x v="4"/>
    <x v="1"/>
  </r>
  <r>
    <s v="US-2017-169551"/>
    <x v="677"/>
    <d v="2017-07-09T00:00:00"/>
    <x v="2"/>
    <s v="RL-19615"/>
    <s v="Rob Lucas"/>
    <x v="0"/>
    <s v="United States"/>
    <x v="3"/>
    <x v="3"/>
    <x v="2"/>
    <s v="FUR-BO-10001519"/>
    <x v="0"/>
    <x v="0"/>
    <s v="O'Sullivan 3-Shelf Heavy-Duty Bookcases"/>
    <n v="87.21"/>
    <n v="3"/>
    <n v="-45.349200000000003"/>
    <x v="3"/>
    <x v="3"/>
  </r>
  <r>
    <s v="CA-2016-103107"/>
    <x v="557"/>
    <d v="2016-07-04T00:00:00"/>
    <x v="3"/>
    <s v="RB-19465"/>
    <s v="Rick Bensley"/>
    <x v="2"/>
    <s v="United States"/>
    <x v="15"/>
    <x v="13"/>
    <x v="1"/>
    <s v="FUR-FU-10000221"/>
    <x v="0"/>
    <x v="3"/>
    <s v="Master Caster Door Stop, Brown"/>
    <n v="25.4"/>
    <n v="5"/>
    <n v="8.6359999999999992"/>
    <x v="7"/>
    <x v="3"/>
  </r>
  <r>
    <s v="CA-2014-104178"/>
    <x v="678"/>
    <d v="2014-08-29T00:00:00"/>
    <x v="1"/>
    <s v="JM-15265"/>
    <s v="Janet Molinari"/>
    <x v="1"/>
    <s v="United States"/>
    <x v="2"/>
    <x v="2"/>
    <x v="1"/>
    <s v="FUR-FU-10000771"/>
    <x v="0"/>
    <x v="3"/>
    <s v="Eldon 200 Class Desk Accessories, Smoke"/>
    <n v="6.28"/>
    <n v="1"/>
    <n v="2.6375999999999999"/>
    <x v="4"/>
    <x v="10"/>
  </r>
  <r>
    <s v="CA-2014-155796"/>
    <x v="163"/>
    <d v="2014-11-15T00:00:00"/>
    <x v="0"/>
    <s v="TS-21430"/>
    <s v="Tom Stivers"/>
    <x v="1"/>
    <s v="United States"/>
    <x v="288"/>
    <x v="3"/>
    <x v="2"/>
    <s v="FUR-FU-10000409"/>
    <x v="0"/>
    <x v="3"/>
    <s v="GE 4 Foot Flourescent Tube, 40 Watt"/>
    <n v="23.968"/>
    <n v="2"/>
    <n v="7.7896000000000001"/>
    <x v="4"/>
    <x v="0"/>
  </r>
  <r>
    <s v="CA-2014-155796"/>
    <x v="163"/>
    <d v="2014-11-15T00:00:00"/>
    <x v="0"/>
    <s v="TS-21430"/>
    <s v="Tom Stivers"/>
    <x v="1"/>
    <s v="United States"/>
    <x v="288"/>
    <x v="3"/>
    <x v="2"/>
    <s v="FUR-BO-10002545"/>
    <x v="0"/>
    <x v="0"/>
    <s v="Atlantic Metals Mobile 3-Shelf Bookcases, Custom Colors"/>
    <n v="521.96"/>
    <n v="4"/>
    <n v="-250.54079999999999"/>
    <x v="4"/>
    <x v="0"/>
  </r>
  <r>
    <s v="CA-2016-127138"/>
    <x v="679"/>
    <d v="2016-03-15T00:00:00"/>
    <x v="0"/>
    <s v="DK-13225"/>
    <s v="Dean Katz"/>
    <x v="1"/>
    <s v="United States"/>
    <x v="28"/>
    <x v="2"/>
    <x v="1"/>
    <s v="FUR-CH-10003746"/>
    <x v="0"/>
    <x v="1"/>
    <s v="Hon 4070 Series Pagoda Round Back Stacking Chairs"/>
    <n v="770.35199999999998"/>
    <n v="3"/>
    <n v="77.035200000000003"/>
    <x v="0"/>
    <x v="9"/>
  </r>
  <r>
    <s v="CA-2017-150602"/>
    <x v="436"/>
    <d v="2017-02-14T00:00:00"/>
    <x v="0"/>
    <s v="ML-17395"/>
    <s v="Marina Lichtenstein"/>
    <x v="1"/>
    <s v="United States"/>
    <x v="2"/>
    <x v="2"/>
    <x v="1"/>
    <s v="FUR-FU-10003142"/>
    <x v="0"/>
    <x v="3"/>
    <s v="Master Big Foot Doorstop, Beige"/>
    <n v="21.12"/>
    <n v="4"/>
    <n v="6.5472000000000001"/>
    <x v="2"/>
    <x v="11"/>
  </r>
  <r>
    <s v="CA-2014-141726"/>
    <x v="435"/>
    <d v="2014-07-22T00:00:00"/>
    <x v="2"/>
    <s v="CC-12145"/>
    <s v="Charles Crestani"/>
    <x v="0"/>
    <s v="United States"/>
    <x v="53"/>
    <x v="2"/>
    <x v="1"/>
    <s v="FUR-FU-10003577"/>
    <x v="0"/>
    <x v="3"/>
    <s v="Nu-Dell Leatherette Frames"/>
    <n v="43.02"/>
    <n v="3"/>
    <n v="15.4872"/>
    <x v="3"/>
    <x v="3"/>
  </r>
  <r>
    <s v="CA-2017-115105"/>
    <x v="335"/>
    <d v="2017-02-11T00:00:00"/>
    <x v="1"/>
    <s v="BD-11770"/>
    <s v="Bryan Davis"/>
    <x v="0"/>
    <s v="United States"/>
    <x v="13"/>
    <x v="7"/>
    <x v="2"/>
    <s v="FUR-BO-10001811"/>
    <x v="0"/>
    <x v="0"/>
    <s v="Atlantic Metals Mobile 5-Shelf Bookcases, Custom Colors"/>
    <n v="240.78399999999999"/>
    <n v="1"/>
    <n v="30.097999999999999"/>
    <x v="2"/>
    <x v="11"/>
  </r>
  <r>
    <s v="CA-2014-117765"/>
    <x v="266"/>
    <d v="2014-09-13T00:00:00"/>
    <x v="1"/>
    <s v="RB-19465"/>
    <s v="Rick Bensley"/>
    <x v="2"/>
    <s v="United States"/>
    <x v="169"/>
    <x v="37"/>
    <x v="3"/>
    <s v="FUR-TA-10001039"/>
    <x v="0"/>
    <x v="2"/>
    <s v="KI Adjustable-Height Table"/>
    <n v="429.9"/>
    <n v="5"/>
    <n v="111.774"/>
    <x v="6"/>
    <x v="4"/>
  </r>
  <r>
    <s v="CA-2014-117765"/>
    <x v="266"/>
    <d v="2014-09-13T00:00:00"/>
    <x v="1"/>
    <s v="RB-19465"/>
    <s v="Rick Bensley"/>
    <x v="2"/>
    <s v="United States"/>
    <x v="169"/>
    <x v="37"/>
    <x v="3"/>
    <s v="FUR-CH-10004698"/>
    <x v="0"/>
    <x v="1"/>
    <s v="Padded Folding Chairs, Black, 4/Carton"/>
    <n v="161.96"/>
    <n v="2"/>
    <n v="45.348799999999997"/>
    <x v="6"/>
    <x v="4"/>
  </r>
  <r>
    <s v="CA-2016-163776"/>
    <x v="680"/>
    <d v="2016-07-25T00:00:00"/>
    <x v="1"/>
    <s v="JS-16030"/>
    <s v="Joy Smith"/>
    <x v="0"/>
    <s v="United States"/>
    <x v="289"/>
    <x v="21"/>
    <x v="0"/>
    <s v="FUR-FU-10001185"/>
    <x v="0"/>
    <x v="3"/>
    <s v="Advantus Employee of the Month Certificate Frame, 11 x 13-1/2"/>
    <n v="185.58"/>
    <n v="6"/>
    <n v="76.087800000000001"/>
    <x v="6"/>
    <x v="3"/>
  </r>
  <r>
    <s v="CA-2016-163776"/>
    <x v="680"/>
    <d v="2016-07-25T00:00:00"/>
    <x v="1"/>
    <s v="JS-16030"/>
    <s v="Joy Smith"/>
    <x v="0"/>
    <s v="United States"/>
    <x v="289"/>
    <x v="21"/>
    <x v="0"/>
    <s v="FUR-BO-10003546"/>
    <x v="0"/>
    <x v="0"/>
    <s v="Hon 4-Shelf Metal Bookcases"/>
    <n v="504.9"/>
    <n v="5"/>
    <n v="126.22499999999999"/>
    <x v="6"/>
    <x v="3"/>
  </r>
  <r>
    <s v="US-2017-163300"/>
    <x v="102"/>
    <d v="2017-09-21T00:00:00"/>
    <x v="1"/>
    <s v="ES-14020"/>
    <s v="Erica Smith"/>
    <x v="0"/>
    <s v="United States"/>
    <x v="2"/>
    <x v="2"/>
    <x v="1"/>
    <s v="FUR-CH-10003396"/>
    <x v="0"/>
    <x v="1"/>
    <s v="Global Deluxe Steno Chair"/>
    <n v="184.75200000000001"/>
    <n v="3"/>
    <n v="-20.784600000000001"/>
    <x v="6"/>
    <x v="4"/>
  </r>
  <r>
    <s v="CA-2016-162187"/>
    <x v="106"/>
    <d v="2016-12-11T00:00:00"/>
    <x v="3"/>
    <s v="NS-18640"/>
    <s v="Noel Staavos"/>
    <x v="1"/>
    <s v="United States"/>
    <x v="29"/>
    <x v="15"/>
    <x v="2"/>
    <s v="FUR-CH-10003298"/>
    <x v="0"/>
    <x v="1"/>
    <s v="Office Star - Contemporary Task Swivel chair with Loop Arms, Charcoal"/>
    <n v="458.43"/>
    <n v="5"/>
    <n v="-137.529"/>
    <x v="7"/>
    <x v="5"/>
  </r>
  <r>
    <s v="CA-2016-162187"/>
    <x v="106"/>
    <d v="2016-12-11T00:00:00"/>
    <x v="3"/>
    <s v="NS-18640"/>
    <s v="Noel Staavos"/>
    <x v="1"/>
    <s v="United States"/>
    <x v="29"/>
    <x v="15"/>
    <x v="2"/>
    <s v="FUR-TA-10003008"/>
    <x v="0"/>
    <x v="2"/>
    <s v="Lesro Round Back Collection Coffee Table, End Table"/>
    <n v="328.59"/>
    <n v="3"/>
    <n v="-147.8655"/>
    <x v="7"/>
    <x v="5"/>
  </r>
  <r>
    <s v="US-2014-112991"/>
    <x v="681"/>
    <d v="2014-12-14T00:00:00"/>
    <x v="1"/>
    <s v="SH-19975"/>
    <s v="Sally Hughsby"/>
    <x v="1"/>
    <s v="United States"/>
    <x v="290"/>
    <x v="42"/>
    <x v="1"/>
    <s v="FUR-CH-10001708"/>
    <x v="0"/>
    <x v="1"/>
    <s v="Office Star - Contemporary Swivel Chair with Padded Adjustable Arms and Flex Back"/>
    <n v="338.35199999999998"/>
    <n v="3"/>
    <n v="4.2294"/>
    <x v="4"/>
    <x v="5"/>
  </r>
  <r>
    <s v="CA-2014-124079"/>
    <x v="536"/>
    <d v="2014-12-17T00:00:00"/>
    <x v="1"/>
    <s v="RF-19345"/>
    <s v="Randy Ferguson"/>
    <x v="1"/>
    <s v="United States"/>
    <x v="43"/>
    <x v="22"/>
    <x v="1"/>
    <s v="FUR-FU-10002553"/>
    <x v="0"/>
    <x v="3"/>
    <s v="Electrix Incandescent Magnifying Lamp, Black"/>
    <n v="87.96"/>
    <n v="3"/>
    <n v="7.6965000000000003"/>
    <x v="4"/>
    <x v="5"/>
  </r>
  <r>
    <s v="CA-2017-107244"/>
    <x v="87"/>
    <d v="2017-09-11T00:00:00"/>
    <x v="1"/>
    <s v="AG-10390"/>
    <s v="Allen Goldenen"/>
    <x v="0"/>
    <s v="United States"/>
    <x v="2"/>
    <x v="2"/>
    <x v="1"/>
    <s v="FUR-FU-10002597"/>
    <x v="0"/>
    <x v="3"/>
    <s v="C-Line Magnetic Cubicle Keepers, Clear Polypropylene"/>
    <n v="19.760000000000002"/>
    <n v="4"/>
    <n v="8.2992000000000008"/>
    <x v="4"/>
    <x v="4"/>
  </r>
  <r>
    <s v="CA-2015-100657"/>
    <x v="46"/>
    <d v="2015-11-07T00:00:00"/>
    <x v="1"/>
    <s v="SW-20245"/>
    <s v="Scot Wooten"/>
    <x v="0"/>
    <s v="United States"/>
    <x v="8"/>
    <x v="7"/>
    <x v="2"/>
    <s v="FUR-CH-10003535"/>
    <x v="0"/>
    <x v="1"/>
    <s v="Global Armless Task Chair, Royal Blue"/>
    <n v="109.764"/>
    <n v="2"/>
    <n v="8.5372000000000003"/>
    <x v="2"/>
    <x v="0"/>
  </r>
  <r>
    <s v="CA-2017-129028"/>
    <x v="535"/>
    <d v="2017-04-03T00:00:00"/>
    <x v="2"/>
    <s v="GB-14530"/>
    <s v="George Bell"/>
    <x v="1"/>
    <s v="United States"/>
    <x v="73"/>
    <x v="10"/>
    <x v="0"/>
    <s v="FUR-FU-10004006"/>
    <x v="0"/>
    <x v="3"/>
    <s v="Deflect-o DuraMat Lighweight, Studded, Beveled Mat for Low Pile Carpeting"/>
    <n v="127.95"/>
    <n v="3"/>
    <n v="21.7515"/>
    <x v="3"/>
    <x v="6"/>
  </r>
  <r>
    <s v="CA-2014-102652"/>
    <x v="226"/>
    <d v="2014-04-12T00:00:00"/>
    <x v="1"/>
    <s v="AY-10555"/>
    <s v="Andy Yotov"/>
    <x v="1"/>
    <s v="United States"/>
    <x v="2"/>
    <x v="2"/>
    <x v="1"/>
    <s v="FUR-FU-10000747"/>
    <x v="0"/>
    <x v="3"/>
    <s v="Tenex B1-RE Series Chair Mats for Low Pile Carpets"/>
    <n v="91.96"/>
    <n v="2"/>
    <n v="15.6332"/>
    <x v="6"/>
    <x v="6"/>
  </r>
  <r>
    <s v="CA-2014-102652"/>
    <x v="226"/>
    <d v="2014-04-12T00:00:00"/>
    <x v="1"/>
    <s v="AY-10555"/>
    <s v="Andy Yotov"/>
    <x v="1"/>
    <s v="United States"/>
    <x v="2"/>
    <x v="2"/>
    <x v="1"/>
    <s v="FUR-FU-10001918"/>
    <x v="0"/>
    <x v="3"/>
    <s v="C-Line Cubicle Keepers Polyproplyene Holder With Velcro Backings"/>
    <n v="33.11"/>
    <n v="7"/>
    <n v="12.9129"/>
    <x v="6"/>
    <x v="6"/>
  </r>
  <r>
    <s v="US-2017-152492"/>
    <x v="682"/>
    <d v="2017-07-06T00:00:00"/>
    <x v="3"/>
    <s v="AH-10585"/>
    <s v="Angele Hood"/>
    <x v="0"/>
    <s v="United States"/>
    <x v="89"/>
    <x v="1"/>
    <x v="0"/>
    <s v="FUR-CH-10000155"/>
    <x v="0"/>
    <x v="1"/>
    <s v="Global Comet Stacking Armless Chair"/>
    <n v="239.24"/>
    <n v="1"/>
    <n v="23.923999999999999"/>
    <x v="7"/>
    <x v="3"/>
  </r>
  <r>
    <s v="CA-2016-101168"/>
    <x v="683"/>
    <d v="2017-01-01T00:00:00"/>
    <x v="1"/>
    <s v="SS-20140"/>
    <s v="Saphhira Shifley"/>
    <x v="1"/>
    <s v="United States"/>
    <x v="291"/>
    <x v="28"/>
    <x v="2"/>
    <s v="FUR-FU-10003142"/>
    <x v="0"/>
    <x v="3"/>
    <s v="Master Big Foot Doorstop, Beige"/>
    <n v="21.12"/>
    <n v="4"/>
    <n v="6.5472000000000001"/>
    <x v="1"/>
    <x v="5"/>
  </r>
  <r>
    <s v="CA-2015-130253"/>
    <x v="646"/>
    <d v="2015-12-18T00:00:00"/>
    <x v="1"/>
    <s v="PP-18955"/>
    <s v="Paul Prost"/>
    <x v="2"/>
    <s v="United States"/>
    <x v="2"/>
    <x v="2"/>
    <x v="1"/>
    <s v="FUR-FU-10002963"/>
    <x v="0"/>
    <x v="3"/>
    <s v="Master Caster Door Stop, Gray"/>
    <n v="15.24"/>
    <n v="3"/>
    <n v="5.1816000000000004"/>
    <x v="4"/>
    <x v="5"/>
  </r>
  <r>
    <s v="CA-2016-131205"/>
    <x v="631"/>
    <d v="2016-09-08T00:00:00"/>
    <x v="1"/>
    <s v="AA-10645"/>
    <s v="Anna Andreadi"/>
    <x v="0"/>
    <s v="United States"/>
    <x v="292"/>
    <x v="0"/>
    <x v="0"/>
    <s v="FUR-FU-10003347"/>
    <x v="0"/>
    <x v="3"/>
    <s v="Coloredge Poster Frame"/>
    <n v="42.6"/>
    <n v="3"/>
    <n v="16.614000000000001"/>
    <x v="4"/>
    <x v="4"/>
  </r>
  <r>
    <s v="CA-2016-117912"/>
    <x v="684"/>
    <d v="2016-02-08T00:00:00"/>
    <x v="1"/>
    <s v="TB-21520"/>
    <s v="Tracy Blumstein"/>
    <x v="0"/>
    <s v="United States"/>
    <x v="293"/>
    <x v="22"/>
    <x v="1"/>
    <s v="FUR-FU-10002088"/>
    <x v="0"/>
    <x v="3"/>
    <s v="Nu-Dell Float Frame 11 x 14 1/2"/>
    <n v="14.368"/>
    <n v="2"/>
    <n v="3.9512"/>
    <x v="4"/>
    <x v="11"/>
  </r>
  <r>
    <s v="CA-2017-145702"/>
    <x v="405"/>
    <d v="2017-05-24T00:00:00"/>
    <x v="0"/>
    <s v="AH-10075"/>
    <s v="Adam Hart"/>
    <x v="1"/>
    <s v="United States"/>
    <x v="270"/>
    <x v="9"/>
    <x v="0"/>
    <s v="FUR-CH-10001482"/>
    <x v="0"/>
    <x v="1"/>
    <s v="Office Star - Mesh Screen back chair with Vinyl seat"/>
    <n v="314.35199999999998"/>
    <n v="3"/>
    <n v="-35.364600000000003"/>
    <x v="2"/>
    <x v="7"/>
  </r>
  <r>
    <s v="CA-2015-113215"/>
    <x v="558"/>
    <d v="2015-09-08T00:00:00"/>
    <x v="1"/>
    <s v="CP-12085"/>
    <s v="Cathy Prescott"/>
    <x v="1"/>
    <s v="United States"/>
    <x v="104"/>
    <x v="22"/>
    <x v="1"/>
    <s v="FUR-FU-10002937"/>
    <x v="0"/>
    <x v="3"/>
    <s v="GE 48&quot; Fluorescent Tube, Cool White Energy Saver, 34 Watts, 30/Box"/>
    <n v="238.15199999999999"/>
    <n v="3"/>
    <n v="89.307000000000002"/>
    <x v="2"/>
    <x v="4"/>
  </r>
  <r>
    <s v="CA-2016-154662"/>
    <x v="641"/>
    <d v="2016-06-16T00:00:00"/>
    <x v="1"/>
    <s v="BF-11215"/>
    <s v="Benjamin Farhat"/>
    <x v="2"/>
    <s v="United States"/>
    <x v="12"/>
    <x v="11"/>
    <x v="3"/>
    <s v="FUR-TA-10001771"/>
    <x v="0"/>
    <x v="2"/>
    <s v="Bush Cubix Conference Tables, Fully Assembled"/>
    <n v="692.94"/>
    <n v="3"/>
    <n v="173.23500000000001"/>
    <x v="1"/>
    <x v="2"/>
  </r>
  <r>
    <s v="CA-2016-124016"/>
    <x v="348"/>
    <d v="2016-09-26T00:00:00"/>
    <x v="0"/>
    <s v="JS-15940"/>
    <s v="Joni Sundaresam"/>
    <x v="2"/>
    <s v="United States"/>
    <x v="68"/>
    <x v="15"/>
    <x v="2"/>
    <s v="FUR-FU-10004963"/>
    <x v="0"/>
    <x v="3"/>
    <s v="Eldon 400 Class Desk Accessories, Black Carbon"/>
    <n v="28"/>
    <n v="4"/>
    <n v="7.7"/>
    <x v="0"/>
    <x v="4"/>
  </r>
  <r>
    <s v="CA-2017-166695"/>
    <x v="685"/>
    <d v="2017-05-24T00:00:00"/>
    <x v="1"/>
    <s v="CC-12430"/>
    <s v="Chuck Clark"/>
    <x v="2"/>
    <s v="United States"/>
    <x v="174"/>
    <x v="2"/>
    <x v="1"/>
    <s v="FUR-CH-10000225"/>
    <x v="0"/>
    <x v="1"/>
    <s v="Global Geo Office Task Chair, Gray"/>
    <n v="518.27200000000005"/>
    <n v="8"/>
    <n v="-97.176000000000002"/>
    <x v="4"/>
    <x v="7"/>
  </r>
  <r>
    <s v="CA-2017-166695"/>
    <x v="685"/>
    <d v="2017-05-24T00:00:00"/>
    <x v="1"/>
    <s v="CC-12430"/>
    <s v="Chuck Clark"/>
    <x v="2"/>
    <s v="United States"/>
    <x v="174"/>
    <x v="2"/>
    <x v="1"/>
    <s v="FUR-FU-10002191"/>
    <x v="0"/>
    <x v="3"/>
    <s v="G.E. Halogen Desk Lamp Bulbs"/>
    <n v="6.98"/>
    <n v="1"/>
    <n v="3.3504"/>
    <x v="4"/>
    <x v="7"/>
  </r>
  <r>
    <s v="CA-2016-151561"/>
    <x v="686"/>
    <d v="2016-09-07T00:00:00"/>
    <x v="1"/>
    <s v="PG-18820"/>
    <s v="Patrick Gardner"/>
    <x v="0"/>
    <s v="United States"/>
    <x v="13"/>
    <x v="7"/>
    <x v="2"/>
    <s v="FUR-FU-10004864"/>
    <x v="0"/>
    <x v="3"/>
    <s v="Howard Miller 14-1/2&quot; Diameter Chrome Round Wall Clock"/>
    <n v="191.82"/>
    <n v="3"/>
    <n v="61.382399999999997"/>
    <x v="6"/>
    <x v="4"/>
  </r>
  <r>
    <s v="US-2014-165589"/>
    <x v="687"/>
    <d v="2014-02-18T00:00:00"/>
    <x v="3"/>
    <s v="TB-21595"/>
    <s v="Troy Blackwell"/>
    <x v="0"/>
    <s v="United States"/>
    <x v="294"/>
    <x v="5"/>
    <x v="3"/>
    <s v="FUR-FU-10002396"/>
    <x v="0"/>
    <x v="3"/>
    <s v="DAX Copper Panel Document Frame, 5 x 7 Size"/>
    <n v="25.16"/>
    <n v="5"/>
    <n v="-11.321999999999999"/>
    <x v="7"/>
    <x v="11"/>
  </r>
  <r>
    <s v="CA-2015-114048"/>
    <x v="646"/>
    <d v="2015-12-18T00:00:00"/>
    <x v="1"/>
    <s v="EH-13945"/>
    <s v="Eric Hoffmann"/>
    <x v="0"/>
    <s v="United States"/>
    <x v="46"/>
    <x v="2"/>
    <x v="1"/>
    <s v="FUR-FU-10004351"/>
    <x v="0"/>
    <x v="3"/>
    <s v="Staple-based wall hangings"/>
    <n v="29.22"/>
    <n v="3"/>
    <n v="12.8568"/>
    <x v="4"/>
    <x v="5"/>
  </r>
  <r>
    <s v="CA-2017-100111"/>
    <x v="688"/>
    <d v="2017-09-26T00:00:00"/>
    <x v="1"/>
    <s v="SV-20365"/>
    <s v="Seth Vernon"/>
    <x v="0"/>
    <s v="United States"/>
    <x v="13"/>
    <x v="7"/>
    <x v="2"/>
    <s v="FUR-CH-10003846"/>
    <x v="0"/>
    <x v="1"/>
    <s v="Hon Valutask Swivel Chairs"/>
    <n v="272.64600000000002"/>
    <n v="3"/>
    <n v="18.176400000000001"/>
    <x v="6"/>
    <x v="4"/>
  </r>
  <r>
    <s v="CA-2017-100111"/>
    <x v="688"/>
    <d v="2017-09-26T00:00:00"/>
    <x v="1"/>
    <s v="SV-20365"/>
    <s v="Seth Vernon"/>
    <x v="0"/>
    <s v="United States"/>
    <x v="13"/>
    <x v="7"/>
    <x v="2"/>
    <s v="FUR-CH-10003061"/>
    <x v="0"/>
    <x v="1"/>
    <s v="Global Leather Task Chair, Black"/>
    <n v="80.991"/>
    <n v="1"/>
    <n v="8.0991"/>
    <x v="6"/>
    <x v="4"/>
  </r>
  <r>
    <s v="CA-2017-100111"/>
    <x v="688"/>
    <d v="2017-09-26T00:00:00"/>
    <x v="1"/>
    <s v="SV-20365"/>
    <s v="Seth Vernon"/>
    <x v="0"/>
    <s v="United States"/>
    <x v="13"/>
    <x v="7"/>
    <x v="2"/>
    <s v="FUR-CH-10004086"/>
    <x v="0"/>
    <x v="1"/>
    <s v="Hon 4070 Series Pagoda Armless Upholstered Stacking Chairs"/>
    <n v="2888.127"/>
    <n v="11"/>
    <n v="609.71569999999997"/>
    <x v="6"/>
    <x v="4"/>
  </r>
  <r>
    <s v="CA-2017-100111"/>
    <x v="688"/>
    <d v="2017-09-26T00:00:00"/>
    <x v="1"/>
    <s v="SV-20365"/>
    <s v="Seth Vernon"/>
    <x v="0"/>
    <s v="United States"/>
    <x v="13"/>
    <x v="7"/>
    <x v="2"/>
    <s v="FUR-CH-10001215"/>
    <x v="0"/>
    <x v="1"/>
    <s v="Global Troy Executive Leather Low-Back Tilter"/>
    <n v="2254.41"/>
    <n v="5"/>
    <n v="375.73500000000001"/>
    <x v="6"/>
    <x v="4"/>
  </r>
  <r>
    <s v="US-2017-132381"/>
    <x v="621"/>
    <d v="2017-08-24T00:00:00"/>
    <x v="2"/>
    <s v="Dp-13240"/>
    <s v="Dean percer"/>
    <x v="2"/>
    <s v="United States"/>
    <x v="3"/>
    <x v="3"/>
    <x v="2"/>
    <s v="FUR-TA-10002356"/>
    <x v="0"/>
    <x v="2"/>
    <s v="Bevis Boat-Shaped Conference Table"/>
    <n v="314.53199999999998"/>
    <n v="2"/>
    <n v="-83.875200000000007"/>
    <x v="3"/>
    <x v="10"/>
  </r>
  <r>
    <s v="CA-2016-124590"/>
    <x v="689"/>
    <d v="2016-11-16T00:00:00"/>
    <x v="1"/>
    <s v="SP-20920"/>
    <s v="Susan Pistek"/>
    <x v="0"/>
    <s v="United States"/>
    <x v="255"/>
    <x v="15"/>
    <x v="2"/>
    <s v="FUR-CH-10004495"/>
    <x v="0"/>
    <x v="1"/>
    <s v="Global Leather and Oak Executive Chair, Black"/>
    <n v="1474.8019999999999"/>
    <n v="7"/>
    <n v="-21.0686"/>
    <x v="4"/>
    <x v="0"/>
  </r>
  <r>
    <s v="CA-2016-124590"/>
    <x v="689"/>
    <d v="2016-11-16T00:00:00"/>
    <x v="1"/>
    <s v="SP-20920"/>
    <s v="Susan Pistek"/>
    <x v="0"/>
    <s v="United States"/>
    <x v="255"/>
    <x v="15"/>
    <x v="2"/>
    <s v="FUR-CH-10000454"/>
    <x v="0"/>
    <x v="1"/>
    <s v="Hon Deluxe Fabric Upholstered Stacking Chairs, Rounded Back"/>
    <n v="1537.0740000000001"/>
    <n v="9"/>
    <n v="0"/>
    <x v="4"/>
    <x v="0"/>
  </r>
  <r>
    <s v="CA-2016-124590"/>
    <x v="689"/>
    <d v="2016-11-16T00:00:00"/>
    <x v="1"/>
    <s v="SP-20920"/>
    <s v="Susan Pistek"/>
    <x v="0"/>
    <s v="United States"/>
    <x v="255"/>
    <x v="15"/>
    <x v="2"/>
    <s v="FUR-CH-10003746"/>
    <x v="0"/>
    <x v="1"/>
    <s v="Hon 4070 Series Pagoda Round Back Stacking Chairs"/>
    <n v="449.37200000000001"/>
    <n v="2"/>
    <n v="-12.8392"/>
    <x v="4"/>
    <x v="0"/>
  </r>
  <r>
    <s v="CA-2017-143378"/>
    <x v="690"/>
    <d v="2017-09-25T00:00:00"/>
    <x v="1"/>
    <s v="JR-16210"/>
    <s v="Justin Ritter"/>
    <x v="1"/>
    <s v="United States"/>
    <x v="76"/>
    <x v="36"/>
    <x v="1"/>
    <s v="FUR-FU-10004864"/>
    <x v="0"/>
    <x v="3"/>
    <s v="Howard Miller 14-1/2&quot; Diameter Chrome Round Wall Clock"/>
    <n v="409.21600000000001"/>
    <n v="8"/>
    <n v="61.382399999999997"/>
    <x v="6"/>
    <x v="4"/>
  </r>
  <r>
    <s v="CA-2017-143378"/>
    <x v="690"/>
    <d v="2017-09-25T00:00:00"/>
    <x v="1"/>
    <s v="JR-16210"/>
    <s v="Justin Ritter"/>
    <x v="1"/>
    <s v="United States"/>
    <x v="76"/>
    <x v="36"/>
    <x v="1"/>
    <s v="FUR-BO-10001972"/>
    <x v="0"/>
    <x v="0"/>
    <s v="O'Sullivan 4-Shelf Bookcase in Odessa Pine"/>
    <n v="72.587999999999994"/>
    <n v="2"/>
    <n v="-128.2388"/>
    <x v="6"/>
    <x v="4"/>
  </r>
  <r>
    <s v="CA-2016-124100"/>
    <x v="691"/>
    <d v="2016-04-06T00:00:00"/>
    <x v="1"/>
    <s v="EH-13990"/>
    <s v="Erica Hackney"/>
    <x v="0"/>
    <s v="United States"/>
    <x v="13"/>
    <x v="7"/>
    <x v="2"/>
    <s v="FUR-CH-10003817"/>
    <x v="0"/>
    <x v="1"/>
    <s v="Global Value Steno Chair, Gray"/>
    <n v="327.99599999999998"/>
    <n v="6"/>
    <n v="54.665999999999997"/>
    <x v="6"/>
    <x v="9"/>
  </r>
  <r>
    <s v="CA-2014-163447"/>
    <x v="421"/>
    <d v="2014-12-31T00:00:00"/>
    <x v="1"/>
    <s v="TB-21190"/>
    <s v="Thomas Brumley"/>
    <x v="2"/>
    <s v="United States"/>
    <x v="13"/>
    <x v="7"/>
    <x v="2"/>
    <s v="FUR-CH-10004477"/>
    <x v="0"/>
    <x v="1"/>
    <s v="Global Push Button Manager's Chair, Indigo"/>
    <n v="767.21400000000006"/>
    <n v="14"/>
    <n v="161.9674"/>
    <x v="4"/>
    <x v="5"/>
  </r>
  <r>
    <s v="CA-2016-148096"/>
    <x v="692"/>
    <d v="2016-08-19T00:00:00"/>
    <x v="2"/>
    <s v="AO-10810"/>
    <s v="Anthony O'Donnell"/>
    <x v="1"/>
    <s v="United States"/>
    <x v="2"/>
    <x v="2"/>
    <x v="1"/>
    <s v="FUR-TA-10004152"/>
    <x v="0"/>
    <x v="2"/>
    <s v="Barricks 18&quot; x 48&quot; Non-Folding Utility Table with Bottom Storage Shelf"/>
    <n v="161.28"/>
    <n v="2"/>
    <n v="12.096"/>
    <x v="0"/>
    <x v="10"/>
  </r>
  <r>
    <s v="CA-2014-131247"/>
    <x v="693"/>
    <d v="2014-04-04T00:00:00"/>
    <x v="1"/>
    <s v="GA-14725"/>
    <s v="Guy Armstrong"/>
    <x v="0"/>
    <s v="United States"/>
    <x v="28"/>
    <x v="2"/>
    <x v="1"/>
    <s v="FUR-BO-10001337"/>
    <x v="0"/>
    <x v="0"/>
    <s v="O'Sullivan Living Dimensions 2-Shelf Bookcases"/>
    <n v="205.666"/>
    <n v="2"/>
    <n v="-12.098000000000001"/>
    <x v="2"/>
    <x v="9"/>
  </r>
  <r>
    <s v="CA-2017-101322"/>
    <x v="158"/>
    <d v="2017-12-31T00:00:00"/>
    <x v="2"/>
    <s v="JG-15310"/>
    <s v="Jason Gross"/>
    <x v="1"/>
    <s v="United States"/>
    <x v="62"/>
    <x v="2"/>
    <x v="1"/>
    <s v="FUR-CH-10003968"/>
    <x v="0"/>
    <x v="1"/>
    <s v="Novimex Turbo Task Chair"/>
    <n v="340.70400000000001"/>
    <n v="6"/>
    <n v="-34.070399999999999"/>
    <x v="0"/>
    <x v="5"/>
  </r>
  <r>
    <s v="US-2016-106600"/>
    <x v="57"/>
    <d v="2016-04-11T00:00:00"/>
    <x v="2"/>
    <s v="RM-19375"/>
    <s v="Raymond Messe"/>
    <x v="0"/>
    <s v="United States"/>
    <x v="29"/>
    <x v="24"/>
    <x v="0"/>
    <s v="FUR-BO-10001608"/>
    <x v="0"/>
    <x v="0"/>
    <s v="Hon Metal Bookcases, Black"/>
    <n v="354.9"/>
    <n v="5"/>
    <n v="88.724999999999994"/>
    <x v="0"/>
    <x v="6"/>
  </r>
  <r>
    <s v="CA-2014-111871"/>
    <x v="385"/>
    <d v="2014-03-21T00:00:00"/>
    <x v="0"/>
    <s v="EK-13795"/>
    <s v="Eileen Kiefer"/>
    <x v="2"/>
    <s v="United States"/>
    <x v="28"/>
    <x v="2"/>
    <x v="1"/>
    <s v="FUR-BO-10004218"/>
    <x v="0"/>
    <x v="0"/>
    <s v="Bush Heritage Pine Collection 5-Shelf Bookcase, Albany Pine Finish, *Special Order"/>
    <n v="1198.33"/>
    <n v="10"/>
    <n v="70.489999999999995"/>
    <x v="0"/>
    <x v="9"/>
  </r>
  <r>
    <s v="CA-2017-151484"/>
    <x v="333"/>
    <d v="2017-04-23T00:00:00"/>
    <x v="2"/>
    <s v="CV-12805"/>
    <s v="Cynthia Voltz"/>
    <x v="1"/>
    <s v="United States"/>
    <x v="3"/>
    <x v="3"/>
    <x v="2"/>
    <s v="FUR-FU-10001876"/>
    <x v="0"/>
    <x v="3"/>
    <s v="Computer Room Manger, 14&quot;"/>
    <n v="51.968000000000004"/>
    <n v="2"/>
    <n v="10.393599999999999"/>
    <x v="0"/>
    <x v="6"/>
  </r>
  <r>
    <s v="CA-2017-151484"/>
    <x v="333"/>
    <d v="2017-04-23T00:00:00"/>
    <x v="2"/>
    <s v="CV-12805"/>
    <s v="Cynthia Voltz"/>
    <x v="1"/>
    <s v="United States"/>
    <x v="3"/>
    <x v="3"/>
    <x v="2"/>
    <s v="FUR-FU-10004671"/>
    <x v="0"/>
    <x v="3"/>
    <s v="Executive Impressions 12&quot; Wall Clock"/>
    <n v="42.408000000000001"/>
    <n v="3"/>
    <n v="9.5418000000000003"/>
    <x v="0"/>
    <x v="6"/>
  </r>
  <r>
    <s v="CA-2014-103989"/>
    <x v="694"/>
    <d v="2014-03-21T00:00:00"/>
    <x v="2"/>
    <s v="MC-17605"/>
    <s v="Matt Connell"/>
    <x v="1"/>
    <s v="United States"/>
    <x v="49"/>
    <x v="1"/>
    <x v="0"/>
    <s v="FUR-FU-10003981"/>
    <x v="0"/>
    <x v="3"/>
    <s v="Eldon Wave Desk Accessories"/>
    <n v="4.992"/>
    <n v="3"/>
    <n v="1.3728"/>
    <x v="3"/>
    <x v="9"/>
  </r>
  <r>
    <s v="CA-2014-103989"/>
    <x v="694"/>
    <d v="2014-03-21T00:00:00"/>
    <x v="2"/>
    <s v="MC-17605"/>
    <s v="Matt Connell"/>
    <x v="1"/>
    <s v="United States"/>
    <x v="49"/>
    <x v="1"/>
    <x v="0"/>
    <s v="FUR-FU-10002508"/>
    <x v="0"/>
    <x v="3"/>
    <s v="Document Clip Frames"/>
    <n v="20.015999999999998"/>
    <n v="3"/>
    <n v="5.5044000000000004"/>
    <x v="3"/>
    <x v="9"/>
  </r>
  <r>
    <s v="CA-2015-158421"/>
    <x v="231"/>
    <d v="2015-09-26T00:00:00"/>
    <x v="1"/>
    <s v="GB-14575"/>
    <s v="Giulietta Baptist"/>
    <x v="0"/>
    <s v="United States"/>
    <x v="11"/>
    <x v="10"/>
    <x v="0"/>
    <s v="FUR-CH-10000309"/>
    <x v="0"/>
    <x v="1"/>
    <s v="Global Comet Stacking Arm Chair"/>
    <n v="1690.04"/>
    <n v="4"/>
    <n v="422.51"/>
    <x v="2"/>
    <x v="4"/>
  </r>
  <r>
    <s v="CA-2016-143609"/>
    <x v="106"/>
    <d v="2016-12-13T00:00:00"/>
    <x v="2"/>
    <s v="DB-13270"/>
    <s v="Deborah Brumfield"/>
    <x v="2"/>
    <s v="United States"/>
    <x v="295"/>
    <x v="36"/>
    <x v="1"/>
    <s v="FUR-CH-10004218"/>
    <x v="0"/>
    <x v="1"/>
    <s v="Global Fabric Manager's Chair, Dark Gray"/>
    <n v="403.92"/>
    <n v="5"/>
    <n v="25.245000000000001"/>
    <x v="3"/>
    <x v="5"/>
  </r>
  <r>
    <s v="CA-2016-157259"/>
    <x v="695"/>
    <d v="2016-12-28T00:00:00"/>
    <x v="1"/>
    <s v="JM-15535"/>
    <s v="Jessica Myrick"/>
    <x v="0"/>
    <s v="United States"/>
    <x v="13"/>
    <x v="7"/>
    <x v="2"/>
    <s v="FUR-FU-10003192"/>
    <x v="0"/>
    <x v="3"/>
    <s v="Luxo Adjustable Task Clamp Lamp"/>
    <n v="799.56"/>
    <n v="9"/>
    <n v="207.88560000000001"/>
    <x v="4"/>
    <x v="5"/>
  </r>
  <r>
    <s v="CA-2016-118332"/>
    <x v="696"/>
    <d v="2016-12-23T00:00:00"/>
    <x v="1"/>
    <s v="PK-19075"/>
    <s v="Pete Kriz"/>
    <x v="0"/>
    <s v="United States"/>
    <x v="278"/>
    <x v="2"/>
    <x v="1"/>
    <s v="FUR-CH-10001708"/>
    <x v="0"/>
    <x v="1"/>
    <s v="Office Star - Contemporary Swivel Chair with Padded Adjustable Arms and Flex Back"/>
    <n v="563.91999999999996"/>
    <n v="5"/>
    <n v="7.0490000000000004"/>
    <x v="1"/>
    <x v="5"/>
  </r>
  <r>
    <s v="CA-2017-145660"/>
    <x v="451"/>
    <d v="2017-12-03T00:00:00"/>
    <x v="2"/>
    <s v="MG-17650"/>
    <s v="Matthew Grinstein"/>
    <x v="2"/>
    <s v="United States"/>
    <x v="149"/>
    <x v="15"/>
    <x v="2"/>
    <s v="FUR-FU-10002885"/>
    <x v="0"/>
    <x v="3"/>
    <s v="Magna Visual Magnetic Picture Hangers"/>
    <n v="7.7119999999999997"/>
    <n v="2"/>
    <n v="1.7352000000000001"/>
    <x v="3"/>
    <x v="5"/>
  </r>
  <r>
    <s v="CA-2016-133697"/>
    <x v="697"/>
    <d v="2016-10-24T00:00:00"/>
    <x v="0"/>
    <s v="CM-12445"/>
    <s v="Chuck Magee"/>
    <x v="0"/>
    <s v="United States"/>
    <x v="6"/>
    <x v="5"/>
    <x v="3"/>
    <s v="FUR-CH-10002372"/>
    <x v="0"/>
    <x v="1"/>
    <s v="Office Star - Ergonomically Designed Knee Chair"/>
    <n v="56.686"/>
    <n v="1"/>
    <n v="-14.5764"/>
    <x v="4"/>
    <x v="1"/>
  </r>
  <r>
    <s v="CA-2017-119809"/>
    <x v="100"/>
    <d v="2017-08-25T00:00:00"/>
    <x v="1"/>
    <s v="YS-21880"/>
    <s v="Yana Sorensen"/>
    <x v="1"/>
    <s v="United States"/>
    <x v="15"/>
    <x v="13"/>
    <x v="1"/>
    <s v="FUR-FU-10001475"/>
    <x v="0"/>
    <x v="3"/>
    <s v="Contract Clock, 14&quot;, Brown"/>
    <n v="65.94"/>
    <n v="3"/>
    <n v="22.419599999999999"/>
    <x v="1"/>
    <x v="10"/>
  </r>
  <r>
    <s v="CA-2015-161711"/>
    <x v="44"/>
    <d v="2015-12-03T00:00:00"/>
    <x v="1"/>
    <s v="MC-17425"/>
    <s v="Mark Cousins"/>
    <x v="1"/>
    <s v="United States"/>
    <x v="13"/>
    <x v="7"/>
    <x v="2"/>
    <s v="FUR-FU-10000087"/>
    <x v="0"/>
    <x v="3"/>
    <s v="Executive Impressions 14&quot; Two-Color Numerals Wall Clock"/>
    <n v="68.16"/>
    <n v="3"/>
    <n v="27.945599999999999"/>
    <x v="2"/>
    <x v="0"/>
  </r>
  <r>
    <s v="CA-2017-140627"/>
    <x v="340"/>
    <d v="2017-12-27T00:00:00"/>
    <x v="1"/>
    <s v="DK-12985"/>
    <s v="Darren Koutras"/>
    <x v="0"/>
    <s v="United States"/>
    <x v="296"/>
    <x v="9"/>
    <x v="0"/>
    <s v="FUR-FU-10000087"/>
    <x v="0"/>
    <x v="3"/>
    <s v="Executive Impressions 14&quot; Two-Color Numerals Wall Clock"/>
    <n v="72.703999999999994"/>
    <n v="4"/>
    <n v="19.084800000000001"/>
    <x v="4"/>
    <x v="5"/>
  </r>
  <r>
    <s v="CA-2015-133445"/>
    <x v="698"/>
    <d v="2015-10-09T00:00:00"/>
    <x v="1"/>
    <s v="JF-15490"/>
    <s v="Jeremy Farry"/>
    <x v="0"/>
    <s v="United States"/>
    <x v="295"/>
    <x v="36"/>
    <x v="1"/>
    <s v="FUR-BO-10003660"/>
    <x v="0"/>
    <x v="0"/>
    <s v="Bush Cubix Collection Bookcases, Fully Assembled"/>
    <n v="66.293999999999997"/>
    <n v="1"/>
    <n v="-103.86060000000001"/>
    <x v="4"/>
    <x v="1"/>
  </r>
  <r>
    <s v="CA-2015-133445"/>
    <x v="698"/>
    <d v="2015-10-09T00:00:00"/>
    <x v="1"/>
    <s v="JF-15490"/>
    <s v="Jeremy Farry"/>
    <x v="0"/>
    <s v="United States"/>
    <x v="295"/>
    <x v="36"/>
    <x v="1"/>
    <s v="FUR-CH-10000422"/>
    <x v="0"/>
    <x v="1"/>
    <s v="Global Highback Leather Tilter in Burgundy"/>
    <n v="291.16800000000001"/>
    <n v="4"/>
    <n v="-14.558400000000001"/>
    <x v="4"/>
    <x v="1"/>
  </r>
  <r>
    <s v="US-2017-142188"/>
    <x v="91"/>
    <d v="2017-09-11T00:00:00"/>
    <x v="3"/>
    <s v="JF-15415"/>
    <s v="Jennifer Ferguson"/>
    <x v="0"/>
    <s v="United States"/>
    <x v="15"/>
    <x v="13"/>
    <x v="1"/>
    <s v="FUR-CH-10003199"/>
    <x v="0"/>
    <x v="1"/>
    <s v="Office Star - Contemporary Task Swivel Chair"/>
    <n v="177.56800000000001"/>
    <n v="2"/>
    <n v="8.8783999999999992"/>
    <x v="7"/>
    <x v="4"/>
  </r>
  <r>
    <s v="CA-2015-134075"/>
    <x v="132"/>
    <d v="2015-12-16T00:00:00"/>
    <x v="1"/>
    <s v="HA-14905"/>
    <s v="Helen Abelman"/>
    <x v="0"/>
    <s v="United States"/>
    <x v="124"/>
    <x v="2"/>
    <x v="1"/>
    <s v="FUR-FU-10004597"/>
    <x v="0"/>
    <x v="3"/>
    <s v="Eldon Cleatmat Chair Mats for Medium Pile Carpets"/>
    <n v="166.5"/>
    <n v="3"/>
    <n v="21.645"/>
    <x v="4"/>
    <x v="5"/>
  </r>
  <r>
    <s v="CA-2017-141572"/>
    <x v="15"/>
    <d v="2017-05-31T00:00:00"/>
    <x v="0"/>
    <s v="LO-17170"/>
    <s v="Lori Olson"/>
    <x v="1"/>
    <s v="United States"/>
    <x v="41"/>
    <x v="28"/>
    <x v="2"/>
    <s v="FUR-FU-10001185"/>
    <x v="0"/>
    <x v="3"/>
    <s v="Advantus Employee of the Month Certificate Frame, 11 x 13-1/2"/>
    <n v="247.44"/>
    <n v="8"/>
    <n v="101.4504"/>
    <x v="0"/>
    <x v="7"/>
  </r>
  <r>
    <s v="CA-2015-112305"/>
    <x v="141"/>
    <d v="2015-11-25T00:00:00"/>
    <x v="1"/>
    <s v="KB-16405"/>
    <s v="Katrina Bavinger"/>
    <x v="2"/>
    <s v="United States"/>
    <x v="15"/>
    <x v="13"/>
    <x v="1"/>
    <s v="FUR-FU-10002364"/>
    <x v="0"/>
    <x v="3"/>
    <s v="Eldon Expressions Wood Desk Accessories, Oak"/>
    <n v="22.14"/>
    <n v="3"/>
    <n v="6.4206000000000003"/>
    <x v="2"/>
    <x v="0"/>
  </r>
  <r>
    <s v="CA-2017-121580"/>
    <x v="464"/>
    <d v="2017-06-04T00:00:00"/>
    <x v="1"/>
    <s v="ML-17410"/>
    <s v="Maris LaWare"/>
    <x v="0"/>
    <s v="United States"/>
    <x v="29"/>
    <x v="6"/>
    <x v="3"/>
    <s v="FUR-FU-10003981"/>
    <x v="0"/>
    <x v="3"/>
    <s v="Eldon Wave Desk Accessories"/>
    <n v="6.24"/>
    <n v="3"/>
    <n v="2.6208"/>
    <x v="6"/>
    <x v="7"/>
  </r>
  <r>
    <s v="CA-2015-151624"/>
    <x v="699"/>
    <d v="2015-09-14T00:00:00"/>
    <x v="1"/>
    <s v="VW-21775"/>
    <s v="Victoria Wilson"/>
    <x v="1"/>
    <s v="United States"/>
    <x v="132"/>
    <x v="33"/>
    <x v="0"/>
    <s v="FUR-FU-10001731"/>
    <x v="0"/>
    <x v="3"/>
    <s v="Acrylic Self-Standing Desk Frames"/>
    <n v="21.36"/>
    <n v="8"/>
    <n v="8.1167999999999996"/>
    <x v="6"/>
    <x v="4"/>
  </r>
  <r>
    <s v="CA-2017-102379"/>
    <x v="308"/>
    <d v="2017-12-06T00:00:00"/>
    <x v="1"/>
    <s v="BB-11545"/>
    <s v="Brenda Bowman"/>
    <x v="1"/>
    <s v="United States"/>
    <x v="121"/>
    <x v="2"/>
    <x v="1"/>
    <s v="FUR-CH-10004983"/>
    <x v="0"/>
    <x v="1"/>
    <s v="Office Star - Mid Back Dual function Ergonomic High Back Chair with 2-Way Adjustable Arms"/>
    <n v="1159.056"/>
    <n v="9"/>
    <n v="43.464599999999997"/>
    <x v="4"/>
    <x v="5"/>
  </r>
  <r>
    <s v="US-2016-139087"/>
    <x v="700"/>
    <d v="2016-07-22T00:00:00"/>
    <x v="0"/>
    <s v="DK-13375"/>
    <s v="Dennis Kane"/>
    <x v="0"/>
    <s v="United States"/>
    <x v="15"/>
    <x v="13"/>
    <x v="1"/>
    <s v="FUR-FU-10001847"/>
    <x v="0"/>
    <x v="3"/>
    <s v="Eldon Image Series Black Desk Accessories"/>
    <n v="12.42"/>
    <n v="3"/>
    <n v="4.4711999999999996"/>
    <x v="2"/>
    <x v="3"/>
  </r>
  <r>
    <s v="US-2016-139087"/>
    <x v="700"/>
    <d v="2016-07-22T00:00:00"/>
    <x v="0"/>
    <s v="DK-13375"/>
    <s v="Dennis Kane"/>
    <x v="0"/>
    <s v="United States"/>
    <x v="15"/>
    <x v="13"/>
    <x v="1"/>
    <s v="FUR-FU-10004164"/>
    <x v="0"/>
    <x v="3"/>
    <s v="Eldon 300 Class Desk Accessories, Black"/>
    <n v="24.75"/>
    <n v="5"/>
    <n v="10.89"/>
    <x v="2"/>
    <x v="3"/>
  </r>
  <r>
    <s v="CA-2015-116484"/>
    <x v="141"/>
    <d v="2015-11-26T00:00:00"/>
    <x v="1"/>
    <s v="JK-15205"/>
    <s v="Jamie Kunitz"/>
    <x v="0"/>
    <s v="United States"/>
    <x v="149"/>
    <x v="15"/>
    <x v="2"/>
    <s v="FUR-FU-10002874"/>
    <x v="0"/>
    <x v="3"/>
    <s v="Ultra Commercial Grade Dual Valve Door Closer"/>
    <n v="63.823999999999998"/>
    <n v="2"/>
    <n v="9.5736000000000008"/>
    <x v="6"/>
    <x v="0"/>
  </r>
  <r>
    <s v="CA-2016-100944"/>
    <x v="211"/>
    <d v="2016-09-28T00:00:00"/>
    <x v="1"/>
    <s v="EH-13765"/>
    <s v="Edward Hooks"/>
    <x v="1"/>
    <s v="United States"/>
    <x v="2"/>
    <x v="2"/>
    <x v="1"/>
    <s v="FUR-CH-10000988"/>
    <x v="0"/>
    <x v="1"/>
    <s v="Hon Olson Stacker Stools"/>
    <n v="563.24"/>
    <n v="5"/>
    <n v="56.323999999999998"/>
    <x v="4"/>
    <x v="4"/>
  </r>
  <r>
    <s v="CA-2016-125080"/>
    <x v="59"/>
    <d v="2016-10-26T00:00:00"/>
    <x v="1"/>
    <s v="VW-21775"/>
    <s v="Victoria Wilson"/>
    <x v="1"/>
    <s v="United States"/>
    <x v="174"/>
    <x v="15"/>
    <x v="2"/>
    <s v="FUR-TA-10003238"/>
    <x v="0"/>
    <x v="2"/>
    <s v="Chromcraft Bull-Nose Wood 48&quot; x 96&quot; Rectangular Conference Tables"/>
    <n v="661.17600000000004"/>
    <n v="2"/>
    <n v="-231.41159999999999"/>
    <x v="2"/>
    <x v="1"/>
  </r>
  <r>
    <s v="CA-2014-100090"/>
    <x v="591"/>
    <d v="2014-07-12T00:00:00"/>
    <x v="1"/>
    <s v="EB-13705"/>
    <s v="Ed Braxton"/>
    <x v="1"/>
    <s v="United States"/>
    <x v="28"/>
    <x v="2"/>
    <x v="1"/>
    <s v="FUR-TA-10003715"/>
    <x v="0"/>
    <x v="2"/>
    <s v="Hon 2111 Invitation Series Corner Table"/>
    <n v="502.488"/>
    <n v="3"/>
    <n v="-87.935400000000001"/>
    <x v="4"/>
    <x v="3"/>
  </r>
  <r>
    <s v="US-2015-139675"/>
    <x v="310"/>
    <d v="2015-03-18T00:00:00"/>
    <x v="0"/>
    <s v="NF-18595"/>
    <s v="Nicole Fjeld"/>
    <x v="2"/>
    <s v="United States"/>
    <x v="297"/>
    <x v="2"/>
    <x v="1"/>
    <s v="FUR-CH-10004063"/>
    <x v="0"/>
    <x v="1"/>
    <s v="Global Deluxe High-Back Manager's Chair"/>
    <n v="915.13599999999997"/>
    <n v="4"/>
    <n v="102.9528"/>
    <x v="2"/>
    <x v="9"/>
  </r>
  <r>
    <s v="US-2015-139675"/>
    <x v="310"/>
    <d v="2015-03-18T00:00:00"/>
    <x v="0"/>
    <s v="NF-18595"/>
    <s v="Nicole Fjeld"/>
    <x v="2"/>
    <s v="United States"/>
    <x v="297"/>
    <x v="2"/>
    <x v="1"/>
    <s v="FUR-FU-10001979"/>
    <x v="0"/>
    <x v="3"/>
    <s v="Dana Halogen Swing-Arm Architect Lamp"/>
    <n v="327.76"/>
    <n v="8"/>
    <n v="91.772800000000004"/>
    <x v="2"/>
    <x v="9"/>
  </r>
  <r>
    <s v="CA-2017-143756"/>
    <x v="308"/>
    <d v="2017-12-05T00:00:00"/>
    <x v="2"/>
    <s v="ME-17725"/>
    <s v="Max Engle"/>
    <x v="0"/>
    <s v="United States"/>
    <x v="279"/>
    <x v="25"/>
    <x v="0"/>
    <s v="FUR-CH-10001854"/>
    <x v="0"/>
    <x v="1"/>
    <s v="Office Star - Professional Matrix Back Chair with 2-to-1 Synchro Tilt and Mesh Fabric Seat"/>
    <n v="701.96"/>
    <n v="2"/>
    <n v="168.47040000000001"/>
    <x v="0"/>
    <x v="5"/>
  </r>
  <r>
    <s v="CA-2017-107314"/>
    <x v="147"/>
    <d v="2017-12-03T00:00:00"/>
    <x v="2"/>
    <s v="MZ-17335"/>
    <s v="Maria Zettner"/>
    <x v="2"/>
    <s v="United States"/>
    <x v="28"/>
    <x v="2"/>
    <x v="1"/>
    <s v="FUR-FU-10003489"/>
    <x v="0"/>
    <x v="3"/>
    <s v="Contemporary Borderless Frame"/>
    <n v="25.83"/>
    <n v="3"/>
    <n v="9.5571000000000002"/>
    <x v="0"/>
    <x v="0"/>
  </r>
  <r>
    <s v="CA-2016-163328"/>
    <x v="114"/>
    <d v="2016-11-06T00:00:00"/>
    <x v="0"/>
    <s v="TP-21565"/>
    <s v="Tracy Poddar"/>
    <x v="1"/>
    <s v="United States"/>
    <x v="298"/>
    <x v="36"/>
    <x v="1"/>
    <s v="FUR-CH-10003298"/>
    <x v="0"/>
    <x v="1"/>
    <s v="Office Star - Contemporary Task Swivel chair with Loop Arms, Charcoal"/>
    <n v="104.78400000000001"/>
    <n v="1"/>
    <n v="-14.4078"/>
    <x v="3"/>
    <x v="0"/>
  </r>
  <r>
    <s v="CA-2016-163328"/>
    <x v="114"/>
    <d v="2016-11-06T00:00:00"/>
    <x v="0"/>
    <s v="TP-21565"/>
    <s v="Tracy Poddar"/>
    <x v="1"/>
    <s v="United States"/>
    <x v="298"/>
    <x v="36"/>
    <x v="1"/>
    <s v="FUR-CH-10000229"/>
    <x v="0"/>
    <x v="1"/>
    <s v="Global Enterprise Series Seating High-Back Swivel/Tilt Chairs"/>
    <n v="650.35199999999998"/>
    <n v="3"/>
    <n v="-97.552800000000005"/>
    <x v="3"/>
    <x v="0"/>
  </r>
  <r>
    <s v="CA-2014-112837"/>
    <x v="701"/>
    <d v="2014-09-16T00:00:00"/>
    <x v="1"/>
    <s v="LW-17125"/>
    <s v="Liz Willingham"/>
    <x v="0"/>
    <s v="United States"/>
    <x v="299"/>
    <x v="2"/>
    <x v="1"/>
    <s v="FUR-FU-10004006"/>
    <x v="0"/>
    <x v="3"/>
    <s v="Deflect-o DuraMat Lighweight, Studded, Beveled Mat for Low Pile Carpeting"/>
    <n v="127.95"/>
    <n v="3"/>
    <n v="21.7515"/>
    <x v="2"/>
    <x v="4"/>
  </r>
  <r>
    <s v="CA-2014-167927"/>
    <x v="187"/>
    <d v="2014-01-26T00:00:00"/>
    <x v="1"/>
    <s v="XP-21865"/>
    <s v="Xylona Preis"/>
    <x v="0"/>
    <s v="United States"/>
    <x v="300"/>
    <x v="17"/>
    <x v="3"/>
    <s v="FUR-FU-10002918"/>
    <x v="0"/>
    <x v="3"/>
    <s v="Eldon ClusterMat Chair Mat with Cordless Antistatic Protection"/>
    <n v="272.94"/>
    <n v="3"/>
    <n v="30.023399999999999"/>
    <x v="6"/>
    <x v="8"/>
  </r>
  <r>
    <s v="CA-2014-167927"/>
    <x v="187"/>
    <d v="2014-01-26T00:00:00"/>
    <x v="1"/>
    <s v="XP-21865"/>
    <s v="Xylona Preis"/>
    <x v="0"/>
    <s v="United States"/>
    <x v="300"/>
    <x v="17"/>
    <x v="3"/>
    <s v="FUR-FU-10002268"/>
    <x v="0"/>
    <x v="3"/>
    <s v="Ultra Door Push Plate"/>
    <n v="14.73"/>
    <n v="3"/>
    <n v="4.8609"/>
    <x v="6"/>
    <x v="8"/>
  </r>
  <r>
    <s v="CA-2016-165995"/>
    <x v="55"/>
    <d v="2016-09-06T00:00:00"/>
    <x v="1"/>
    <s v="BG-11740"/>
    <s v="Bruce Geld"/>
    <x v="0"/>
    <s v="United States"/>
    <x v="2"/>
    <x v="2"/>
    <x v="1"/>
    <s v="FUR-FU-10000672"/>
    <x v="0"/>
    <x v="3"/>
    <s v="Executive Impressions 10&quot; Spectator Wall Clock"/>
    <n v="47.04"/>
    <n v="4"/>
    <n v="15.993600000000001"/>
    <x v="1"/>
    <x v="10"/>
  </r>
  <r>
    <s v="CA-2017-143112"/>
    <x v="702"/>
    <d v="2017-10-09T00:00:00"/>
    <x v="1"/>
    <s v="TS-21370"/>
    <s v="Todd Sumrall"/>
    <x v="1"/>
    <s v="United States"/>
    <x v="13"/>
    <x v="7"/>
    <x v="2"/>
    <s v="FUR-CH-10002880"/>
    <x v="0"/>
    <x v="1"/>
    <s v="Global High-Back Leather Tilter, Burgundy"/>
    <n v="221.38200000000001"/>
    <n v="2"/>
    <n v="2.4598"/>
    <x v="4"/>
    <x v="1"/>
  </r>
  <r>
    <s v="CA-2017-161557"/>
    <x v="667"/>
    <d v="2017-09-08T00:00:00"/>
    <x v="1"/>
    <s v="AG-10900"/>
    <s v="Arthur Gainer"/>
    <x v="0"/>
    <s v="United States"/>
    <x v="144"/>
    <x v="5"/>
    <x v="3"/>
    <s v="FUR-FU-10004622"/>
    <x v="0"/>
    <x v="3"/>
    <s v="Eldon Advantage Foldable Chair Mats for Low Pile Carpets"/>
    <n v="108.4"/>
    <n v="5"/>
    <n v="-105.69"/>
    <x v="2"/>
    <x v="4"/>
  </r>
  <r>
    <s v="CA-2016-103919"/>
    <x v="162"/>
    <d v="2016-10-07T00:00:00"/>
    <x v="1"/>
    <s v="TP-21565"/>
    <s v="Tracy Poddar"/>
    <x v="1"/>
    <s v="United States"/>
    <x v="141"/>
    <x v="5"/>
    <x v="3"/>
    <s v="FUR-FU-10001756"/>
    <x v="0"/>
    <x v="3"/>
    <s v="Eldon Expressions Desk Accessory, Wood Photo Frame, Mahogany"/>
    <n v="38.08"/>
    <n v="5"/>
    <n v="-29.512"/>
    <x v="4"/>
    <x v="1"/>
  </r>
  <r>
    <s v="CA-2016-113425"/>
    <x v="431"/>
    <d v="2016-11-21T00:00:00"/>
    <x v="3"/>
    <s v="JK-16120"/>
    <s v="Julie Kriz"/>
    <x v="2"/>
    <s v="United States"/>
    <x v="13"/>
    <x v="7"/>
    <x v="2"/>
    <s v="FUR-BO-10002598"/>
    <x v="0"/>
    <x v="0"/>
    <s v="Hon Metal Bookcases, Putty"/>
    <n v="113.568"/>
    <n v="2"/>
    <n v="12.776400000000001"/>
    <x v="7"/>
    <x v="0"/>
  </r>
  <r>
    <s v="CA-2017-143035"/>
    <x v="433"/>
    <d v="2017-10-05T00:00:00"/>
    <x v="0"/>
    <s v="CC-12430"/>
    <s v="Chuck Clark"/>
    <x v="2"/>
    <s v="United States"/>
    <x v="13"/>
    <x v="7"/>
    <x v="2"/>
    <s v="FUR-FU-10001934"/>
    <x v="0"/>
    <x v="3"/>
    <s v="Magnifier Swing Arm Lamp"/>
    <n v="83.92"/>
    <n v="4"/>
    <n v="21.819199999999999"/>
    <x v="3"/>
    <x v="1"/>
  </r>
  <r>
    <s v="CA-2014-107811"/>
    <x v="149"/>
    <d v="2014-05-03T00:00:00"/>
    <x v="1"/>
    <s v="LA-16780"/>
    <s v="Laura Armstrong"/>
    <x v="1"/>
    <s v="United States"/>
    <x v="10"/>
    <x v="9"/>
    <x v="0"/>
    <s v="FUR-CH-10001394"/>
    <x v="0"/>
    <x v="1"/>
    <s v="Global Leather Executive Chair"/>
    <n v="561.58399999999995"/>
    <n v="2"/>
    <n v="70.197999999999993"/>
    <x v="4"/>
    <x v="6"/>
  </r>
  <r>
    <s v="US-2016-116442"/>
    <x v="120"/>
    <d v="2016-12-22T00:00:00"/>
    <x v="1"/>
    <s v="BP-11230"/>
    <s v="Benjamin Patterson"/>
    <x v="0"/>
    <s v="United States"/>
    <x v="2"/>
    <x v="2"/>
    <x v="1"/>
    <s v="FUR-FU-10002364"/>
    <x v="0"/>
    <x v="3"/>
    <s v="Eldon Expressions Wood Desk Accessories, Oak"/>
    <n v="14.76"/>
    <n v="2"/>
    <n v="4.2804000000000002"/>
    <x v="1"/>
    <x v="5"/>
  </r>
  <r>
    <s v="CA-2016-127236"/>
    <x v="477"/>
    <d v="2016-04-02T00:00:00"/>
    <x v="1"/>
    <s v="TB-21595"/>
    <s v="Troy Blackwell"/>
    <x v="0"/>
    <s v="United States"/>
    <x v="76"/>
    <x v="15"/>
    <x v="2"/>
    <s v="FUR-BO-10004015"/>
    <x v="0"/>
    <x v="0"/>
    <s v="Bush Andora Bookcase, Maple/Graphite Gray Finish"/>
    <n v="299.97500000000002"/>
    <n v="5"/>
    <n v="-167.98599999999999"/>
    <x v="4"/>
    <x v="9"/>
  </r>
  <r>
    <s v="CA-2016-129126"/>
    <x v="469"/>
    <d v="2016-12-19T00:00:00"/>
    <x v="1"/>
    <s v="PK-19075"/>
    <s v="Pete Kriz"/>
    <x v="0"/>
    <s v="United States"/>
    <x v="13"/>
    <x v="7"/>
    <x v="2"/>
    <s v="FUR-FU-10002937"/>
    <x v="0"/>
    <x v="3"/>
    <s v="GE 48&quot; Fluorescent Tube, Cool White Energy Saver, 34 Watts, 30/Box"/>
    <n v="396.92"/>
    <n v="4"/>
    <n v="198.46"/>
    <x v="2"/>
    <x v="5"/>
  </r>
  <r>
    <s v="CA-2017-125472"/>
    <x v="703"/>
    <d v="2017-05-31T00:00:00"/>
    <x v="2"/>
    <s v="BD-11725"/>
    <s v="Bruce Degenhardt"/>
    <x v="0"/>
    <s v="United States"/>
    <x v="120"/>
    <x v="35"/>
    <x v="0"/>
    <s v="FUR-BO-10000330"/>
    <x v="0"/>
    <x v="0"/>
    <s v="Sauder Camden County Barrister Bookcase, Planked Cherry Finish"/>
    <n v="241.96"/>
    <n v="2"/>
    <n v="33.874400000000001"/>
    <x v="5"/>
    <x v="7"/>
  </r>
  <r>
    <s v="CA-2017-125472"/>
    <x v="703"/>
    <d v="2017-05-31T00:00:00"/>
    <x v="2"/>
    <s v="BD-11725"/>
    <s v="Bruce Degenhardt"/>
    <x v="0"/>
    <s v="United States"/>
    <x v="120"/>
    <x v="35"/>
    <x v="0"/>
    <s v="FUR-FU-10001731"/>
    <x v="0"/>
    <x v="3"/>
    <s v="Acrylic Self-Standing Desk Frames"/>
    <n v="8.01"/>
    <n v="3"/>
    <n v="3.0438000000000001"/>
    <x v="5"/>
    <x v="7"/>
  </r>
  <r>
    <s v="CA-2017-154074"/>
    <x v="704"/>
    <d v="2017-09-02T00:00:00"/>
    <x v="0"/>
    <s v="BW-11110"/>
    <s v="Bart Watters"/>
    <x v="1"/>
    <s v="United States"/>
    <x v="129"/>
    <x v="13"/>
    <x v="1"/>
    <s v="FUR-CH-10002331"/>
    <x v="0"/>
    <x v="1"/>
    <s v="Hon 4700 Series Mobuis Mid-Back Task Chairs with Adjustable Arms"/>
    <n v="569.56799999999998"/>
    <n v="2"/>
    <n v="7.1196000000000002"/>
    <x v="3"/>
    <x v="10"/>
  </r>
  <r>
    <s v="CA-2017-161774"/>
    <x v="138"/>
    <d v="2017-05-15T00:00:00"/>
    <x v="2"/>
    <s v="GT-14710"/>
    <s v="Greg Tran"/>
    <x v="0"/>
    <s v="United States"/>
    <x v="6"/>
    <x v="5"/>
    <x v="3"/>
    <s v="FUR-CH-10003981"/>
    <x v="0"/>
    <x v="1"/>
    <s v="Global Commerce Series Low-Back Swivel/Tilt Chairs"/>
    <n v="899.43"/>
    <n v="5"/>
    <n v="-12.849"/>
    <x v="5"/>
    <x v="7"/>
  </r>
  <r>
    <s v="CA-2016-140130"/>
    <x v="359"/>
    <d v="2016-11-05T00:00:00"/>
    <x v="1"/>
    <s v="HW-14935"/>
    <s v="Helen Wasserman"/>
    <x v="1"/>
    <s v="United States"/>
    <x v="169"/>
    <x v="37"/>
    <x v="3"/>
    <s v="FUR-CH-10002084"/>
    <x v="0"/>
    <x v="1"/>
    <s v="Hon Mobius Operator's Chair"/>
    <n v="368.97"/>
    <n v="3"/>
    <n v="81.173400000000001"/>
    <x v="2"/>
    <x v="1"/>
  </r>
  <r>
    <s v="CA-2015-149650"/>
    <x v="634"/>
    <d v="2015-10-27T00:00:00"/>
    <x v="2"/>
    <s v="RD-19660"/>
    <s v="Robert Dilbeck"/>
    <x v="2"/>
    <s v="United States"/>
    <x v="121"/>
    <x v="2"/>
    <x v="1"/>
    <s v="FUR-CH-10003956"/>
    <x v="0"/>
    <x v="1"/>
    <s v="Novimex High-Tech Fabric Mesh Task Chair"/>
    <n v="454.27199999999999"/>
    <n v="8"/>
    <n v="-73.819199999999995"/>
    <x v="0"/>
    <x v="1"/>
  </r>
  <r>
    <s v="CA-2014-165764"/>
    <x v="705"/>
    <d v="2014-11-07T00:00:00"/>
    <x v="1"/>
    <s v="SH-20395"/>
    <s v="Shahid Hopkins"/>
    <x v="0"/>
    <s v="United States"/>
    <x v="51"/>
    <x v="30"/>
    <x v="0"/>
    <s v="FUR-TA-10001768"/>
    <x v="0"/>
    <x v="2"/>
    <s v="Hon Racetrack Conference Tables"/>
    <n v="945.03599999999994"/>
    <n v="6"/>
    <n v="-299.26139999999998"/>
    <x v="4"/>
    <x v="0"/>
  </r>
  <r>
    <s v="CA-2014-165764"/>
    <x v="705"/>
    <d v="2014-11-07T00:00:00"/>
    <x v="1"/>
    <s v="SH-20395"/>
    <s v="Shahid Hopkins"/>
    <x v="0"/>
    <s v="United States"/>
    <x v="51"/>
    <x v="30"/>
    <x v="0"/>
    <s v="FUR-FU-10001468"/>
    <x v="0"/>
    <x v="3"/>
    <s v="Tenex Antistatic Computer Chair Mats"/>
    <n v="410.35199999999998"/>
    <n v="3"/>
    <n v="-51.293999999999997"/>
    <x v="4"/>
    <x v="0"/>
  </r>
  <r>
    <s v="US-2017-116897"/>
    <x v="706"/>
    <d v="2017-05-29T00:00:00"/>
    <x v="2"/>
    <s v="JG-15160"/>
    <s v="James Galang"/>
    <x v="0"/>
    <s v="United States"/>
    <x v="280"/>
    <x v="42"/>
    <x v="1"/>
    <s v="FUR-FU-10004963"/>
    <x v="0"/>
    <x v="3"/>
    <s v="Eldon 400 Class Desk Accessories, Black Carbon"/>
    <n v="35"/>
    <n v="4"/>
    <n v="14.7"/>
    <x v="3"/>
    <x v="7"/>
  </r>
  <r>
    <s v="US-2017-113992"/>
    <x v="417"/>
    <d v="2017-12-19T00:00:00"/>
    <x v="1"/>
    <s v="LC-16885"/>
    <s v="Lena Creighton"/>
    <x v="0"/>
    <s v="United States"/>
    <x v="215"/>
    <x v="5"/>
    <x v="3"/>
    <s v="FUR-TA-10000577"/>
    <x v="0"/>
    <x v="2"/>
    <s v="Bretford CR4500 Series Slim Rectangular Table"/>
    <n v="974.98800000000006"/>
    <n v="4"/>
    <n v="-97.498800000000003"/>
    <x v="2"/>
    <x v="5"/>
  </r>
  <r>
    <s v="CA-2014-166891"/>
    <x v="707"/>
    <d v="2014-10-06T00:00:00"/>
    <x v="2"/>
    <s v="CC-12220"/>
    <s v="Chris Cortes"/>
    <x v="0"/>
    <s v="United States"/>
    <x v="13"/>
    <x v="7"/>
    <x v="2"/>
    <s v="FUR-CH-10003298"/>
    <x v="0"/>
    <x v="1"/>
    <s v="Office Star - Contemporary Task Swivel chair with Loop Arms, Charcoal"/>
    <n v="589.41"/>
    <n v="5"/>
    <n v="-6.5490000000000004"/>
    <x v="3"/>
    <x v="1"/>
  </r>
  <r>
    <s v="CA-2016-101161"/>
    <x v="25"/>
    <d v="2016-10-20T00:00:00"/>
    <x v="1"/>
    <s v="BW-11110"/>
    <s v="Bart Watters"/>
    <x v="1"/>
    <s v="United States"/>
    <x v="13"/>
    <x v="7"/>
    <x v="2"/>
    <s v="FUR-FU-10003535"/>
    <x v="0"/>
    <x v="3"/>
    <s v="Howard Miller Distant Time Traveler Alarm Clock"/>
    <n v="82.26"/>
    <n v="3"/>
    <n v="33.726599999999998"/>
    <x v="1"/>
    <x v="1"/>
  </r>
  <r>
    <s v="US-2017-119816"/>
    <x v="708"/>
    <d v="2017-03-06T00:00:00"/>
    <x v="0"/>
    <s v="TT-21460"/>
    <s v="Tonja Turnell"/>
    <x v="2"/>
    <s v="United States"/>
    <x v="6"/>
    <x v="5"/>
    <x v="3"/>
    <s v="FUR-FU-10004848"/>
    <x v="0"/>
    <x v="3"/>
    <s v="Howard Miller 13-3/4&quot; Diameter Brushed Chrome Round Wall Clock"/>
    <n v="103.5"/>
    <n v="5"/>
    <n v="-77.625"/>
    <x v="3"/>
    <x v="9"/>
  </r>
  <r>
    <s v="CA-2017-161102"/>
    <x v="709"/>
    <d v="2017-08-03T00:00:00"/>
    <x v="2"/>
    <s v="EC-14050"/>
    <s v="Erin Creighton"/>
    <x v="0"/>
    <s v="United States"/>
    <x v="28"/>
    <x v="2"/>
    <x v="1"/>
    <s v="FUR-FU-10003142"/>
    <x v="0"/>
    <x v="3"/>
    <s v="Master Big Foot Doorstop, Beige"/>
    <n v="36.96"/>
    <n v="7"/>
    <n v="11.457599999999999"/>
    <x v="0"/>
    <x v="3"/>
  </r>
  <r>
    <s v="US-2017-133361"/>
    <x v="138"/>
    <d v="2017-05-17T00:00:00"/>
    <x v="2"/>
    <s v="AJ-10780"/>
    <s v="Anthony Jacobs"/>
    <x v="1"/>
    <s v="United States"/>
    <x v="237"/>
    <x v="32"/>
    <x v="2"/>
    <s v="FUR-CH-10003298"/>
    <x v="0"/>
    <x v="1"/>
    <s v="Office Star - Contemporary Task Swivel chair with Loop Arms, Charcoal"/>
    <n v="261.95999999999998"/>
    <n v="2"/>
    <n v="23.5764"/>
    <x v="0"/>
    <x v="7"/>
  </r>
  <r>
    <s v="US-2016-155404"/>
    <x v="710"/>
    <d v="2016-09-28T00:00:00"/>
    <x v="1"/>
    <s v="AS-10630"/>
    <s v="Ann Steele"/>
    <x v="2"/>
    <s v="United States"/>
    <x v="74"/>
    <x v="0"/>
    <x v="0"/>
    <s v="FUR-FU-10004586"/>
    <x v="0"/>
    <x v="3"/>
    <s v="G.E. Longer-Life Indoor Recessed Floodlight Bulbs"/>
    <n v="13.28"/>
    <n v="2"/>
    <n v="6.3743999999999996"/>
    <x v="6"/>
    <x v="4"/>
  </r>
  <r>
    <s v="CA-2016-163804"/>
    <x v="674"/>
    <d v="2016-12-08T00:00:00"/>
    <x v="1"/>
    <s v="DB-13270"/>
    <s v="Deborah Brumfield"/>
    <x v="2"/>
    <s v="United States"/>
    <x v="134"/>
    <x v="38"/>
    <x v="2"/>
    <s v="FUR-FU-10004864"/>
    <x v="0"/>
    <x v="3"/>
    <s v="Eldon 500 Class Desk Accessories"/>
    <n v="72.42"/>
    <n v="6"/>
    <n v="23.898599999999998"/>
    <x v="6"/>
    <x v="5"/>
  </r>
  <r>
    <s v="CA-2014-149524"/>
    <x v="711"/>
    <d v="2014-01-15T00:00:00"/>
    <x v="2"/>
    <s v="BS-11590"/>
    <s v="Brendan Sweed"/>
    <x v="1"/>
    <s v="United States"/>
    <x v="3"/>
    <x v="3"/>
    <x v="2"/>
    <s v="FUR-BO-10003433"/>
    <x v="0"/>
    <x v="0"/>
    <s v="Sauder Cornerstone Collection Library"/>
    <n v="61.96"/>
    <n v="4"/>
    <n v="-53.285600000000002"/>
    <x v="5"/>
    <x v="8"/>
  </r>
  <r>
    <s v="CA-2017-140872"/>
    <x v="35"/>
    <d v="2017-06-10T00:00:00"/>
    <x v="1"/>
    <s v="NR-18550"/>
    <s v="Nick Radford"/>
    <x v="0"/>
    <s v="United States"/>
    <x v="36"/>
    <x v="1"/>
    <x v="0"/>
    <s v="FUR-BO-10002824"/>
    <x v="0"/>
    <x v="0"/>
    <s v="Bush Mission Pointe Library"/>
    <n v="241.56800000000001"/>
    <n v="2"/>
    <n v="0"/>
    <x v="1"/>
    <x v="2"/>
  </r>
  <r>
    <s v="CA-2017-113908"/>
    <x v="35"/>
    <d v="2017-06-09T00:00:00"/>
    <x v="1"/>
    <s v="KN-16390"/>
    <s v="Katherine Nockton"/>
    <x v="1"/>
    <s v="United States"/>
    <x v="13"/>
    <x v="7"/>
    <x v="2"/>
    <s v="FUR-TA-10001932"/>
    <x v="0"/>
    <x v="2"/>
    <s v="Chromcraft 48&quot; x 96&quot; Racetrack Double Pedestal Table"/>
    <n v="384.76799999999997"/>
    <n v="2"/>
    <n v="-115.43040000000001"/>
    <x v="6"/>
    <x v="2"/>
  </r>
  <r>
    <s v="CA-2014-149594"/>
    <x v="712"/>
    <d v="2014-09-19T00:00:00"/>
    <x v="1"/>
    <s v="MF-18250"/>
    <s v="Monica Federle"/>
    <x v="1"/>
    <s v="United States"/>
    <x v="3"/>
    <x v="3"/>
    <x v="2"/>
    <s v="FUR-FU-10000222"/>
    <x v="0"/>
    <x v="3"/>
    <s v="Seth Thomas 16&quot; Steel Case Clock"/>
    <n v="103.93600000000001"/>
    <n v="4"/>
    <n v="16.889600000000002"/>
    <x v="4"/>
    <x v="4"/>
  </r>
  <r>
    <s v="CA-2016-113845"/>
    <x v="47"/>
    <d v="2016-11-25T00:00:00"/>
    <x v="1"/>
    <s v="FA-14230"/>
    <s v="Frank Atkinson"/>
    <x v="1"/>
    <s v="United States"/>
    <x v="301"/>
    <x v="1"/>
    <x v="0"/>
    <s v="FUR-BO-10004695"/>
    <x v="0"/>
    <x v="0"/>
    <s v="O'Sullivan 2-Door Barrister Bookcase in Odessa Pine"/>
    <n v="289.56799999999998"/>
    <n v="2"/>
    <n v="10.8588"/>
    <x v="2"/>
    <x v="0"/>
  </r>
  <r>
    <s v="CA-2015-103135"/>
    <x v="713"/>
    <d v="2015-07-28T00:00:00"/>
    <x v="1"/>
    <s v="SS-20515"/>
    <s v="Shirley Schmidt"/>
    <x v="2"/>
    <s v="United States"/>
    <x v="74"/>
    <x v="0"/>
    <x v="0"/>
    <s v="FUR-FU-10001487"/>
    <x v="0"/>
    <x v="3"/>
    <s v="Eldon Expressions Wood and Plastic Desk Accessories, Cherry Wood"/>
    <n v="20.94"/>
    <n v="3"/>
    <n v="6.0726000000000004"/>
    <x v="4"/>
    <x v="3"/>
  </r>
  <r>
    <s v="US-2016-128909"/>
    <x v="714"/>
    <d v="2016-10-11T00:00:00"/>
    <x v="0"/>
    <s v="SP-20545"/>
    <s v="Sibella Parks"/>
    <x v="1"/>
    <s v="United States"/>
    <x v="3"/>
    <x v="3"/>
    <x v="2"/>
    <s v="FUR-FU-10004071"/>
    <x v="0"/>
    <x v="3"/>
    <s v="Luxo Professional Magnifying Clamp-On Fluorescent Lamps"/>
    <n v="332.83199999999999"/>
    <n v="4"/>
    <n v="-24.962399999999999"/>
    <x v="3"/>
    <x v="1"/>
  </r>
  <r>
    <s v="US-2017-116652"/>
    <x v="102"/>
    <d v="2017-09-19T00:00:00"/>
    <x v="1"/>
    <s v="RD-19480"/>
    <s v="Rick Duston"/>
    <x v="0"/>
    <s v="United States"/>
    <x v="28"/>
    <x v="2"/>
    <x v="1"/>
    <s v="FUR-CH-10002961"/>
    <x v="0"/>
    <x v="1"/>
    <s v="Leather Task Chair, Black"/>
    <n v="218.352"/>
    <n v="3"/>
    <n v="0"/>
    <x v="4"/>
    <x v="4"/>
  </r>
  <r>
    <s v="US-2017-116652"/>
    <x v="102"/>
    <d v="2017-09-19T00:00:00"/>
    <x v="1"/>
    <s v="RD-19480"/>
    <s v="Rick Duston"/>
    <x v="0"/>
    <s v="United States"/>
    <x v="28"/>
    <x v="2"/>
    <x v="1"/>
    <s v="FUR-FU-10001488"/>
    <x v="0"/>
    <x v="3"/>
    <s v="Tenex 46&quot; x 60&quot; Computer Anti-Static Chairmat, Rectangular Shaped"/>
    <n v="529.9"/>
    <n v="5"/>
    <n v="105.98"/>
    <x v="4"/>
    <x v="4"/>
  </r>
  <r>
    <s v="CA-2017-138289"/>
    <x v="623"/>
    <d v="2017-01-18T00:00:00"/>
    <x v="0"/>
    <s v="AR-10540"/>
    <s v="Andy Reiter"/>
    <x v="0"/>
    <s v="United States"/>
    <x v="38"/>
    <x v="17"/>
    <x v="3"/>
    <s v="FUR-CH-10004626"/>
    <x v="0"/>
    <x v="1"/>
    <s v="Office Star Flex Back Scooter Chair with Aluminum Finish Frame"/>
    <n v="302.67"/>
    <n v="3"/>
    <n v="72.640799999999999"/>
    <x v="3"/>
    <x v="8"/>
  </r>
  <r>
    <s v="CA-2014-128209"/>
    <x v="317"/>
    <d v="2014-11-22T00:00:00"/>
    <x v="1"/>
    <s v="GT-14710"/>
    <s v="Greg Tran"/>
    <x v="0"/>
    <s v="United States"/>
    <x v="252"/>
    <x v="7"/>
    <x v="2"/>
    <s v="FUR-BO-10002213"/>
    <x v="0"/>
    <x v="0"/>
    <s v="DMI Eclipse Executive Suite Bookcases"/>
    <n v="4007.84"/>
    <n v="10"/>
    <n v="-50.097999999999999"/>
    <x v="2"/>
    <x v="0"/>
  </r>
  <r>
    <s v="CA-2014-169684"/>
    <x v="715"/>
    <d v="2014-10-23T00:00:00"/>
    <x v="2"/>
    <s v="FH-14365"/>
    <s v="Fred Hopkins"/>
    <x v="1"/>
    <s v="United States"/>
    <x v="270"/>
    <x v="9"/>
    <x v="0"/>
    <s v="FUR-TA-10003008"/>
    <x v="0"/>
    <x v="2"/>
    <s v="Lesro Round Back Collection Coffee Table, End Table"/>
    <n v="328.59"/>
    <n v="3"/>
    <n v="-147.8655"/>
    <x v="0"/>
    <x v="1"/>
  </r>
  <r>
    <s v="CA-2015-109862"/>
    <x v="551"/>
    <d v="2015-10-30T00:00:00"/>
    <x v="1"/>
    <s v="HK-14890"/>
    <s v="Heather Kirkland"/>
    <x v="1"/>
    <s v="United States"/>
    <x v="19"/>
    <x v="14"/>
    <x v="2"/>
    <s v="FUR-CH-10002439"/>
    <x v="0"/>
    <x v="1"/>
    <s v="Iceberg Nesting Folding Chair, 19w x 6d x 43h"/>
    <n v="291.10000000000002"/>
    <n v="5"/>
    <n v="75.686000000000007"/>
    <x v="2"/>
    <x v="1"/>
  </r>
  <r>
    <s v="US-2017-107888"/>
    <x v="716"/>
    <d v="2017-11-19T00:00:00"/>
    <x v="2"/>
    <s v="CC-12220"/>
    <s v="Chris Cortes"/>
    <x v="0"/>
    <s v="United States"/>
    <x v="15"/>
    <x v="13"/>
    <x v="1"/>
    <s v="FUR-FU-10003394"/>
    <x v="0"/>
    <x v="3"/>
    <s v="Tenex &quot;The Solids&quot; Textured Chair Mats"/>
    <n v="139.91999999999999"/>
    <n v="2"/>
    <n v="23.7864"/>
    <x v="0"/>
    <x v="0"/>
  </r>
  <r>
    <s v="CA-2014-113880"/>
    <x v="29"/>
    <d v="2014-03-05T00:00:00"/>
    <x v="1"/>
    <s v="VF-21715"/>
    <s v="Vicky Freymann"/>
    <x v="2"/>
    <s v="United States"/>
    <x v="302"/>
    <x v="8"/>
    <x v="3"/>
    <s v="FUR-CH-10000863"/>
    <x v="0"/>
    <x v="1"/>
    <s v="Novimex Swivel Fabric Task Chair"/>
    <n v="634.11599999999999"/>
    <n v="6"/>
    <n v="-172.1172"/>
    <x v="4"/>
    <x v="9"/>
  </r>
  <r>
    <s v="US-2015-164966"/>
    <x v="45"/>
    <d v="2015-08-01T00:00:00"/>
    <x v="2"/>
    <s v="GH-14410"/>
    <s v="Gary Hansen"/>
    <x v="2"/>
    <s v="United States"/>
    <x v="27"/>
    <x v="11"/>
    <x v="3"/>
    <s v="FUR-CH-10002304"/>
    <x v="0"/>
    <x v="1"/>
    <s v="Global Stack Chair without Arms, Black"/>
    <n v="155.88"/>
    <n v="6"/>
    <n v="38.97"/>
    <x v="3"/>
    <x v="3"/>
  </r>
  <r>
    <s v="CA-2015-126739"/>
    <x v="341"/>
    <d v="2015-11-03T00:00:00"/>
    <x v="0"/>
    <s v="JH-16180"/>
    <s v="Justin Hirsh"/>
    <x v="0"/>
    <s v="United States"/>
    <x v="13"/>
    <x v="7"/>
    <x v="2"/>
    <s v="FUR-CH-10000422"/>
    <x v="0"/>
    <x v="1"/>
    <s v="Global Highback Leather Tilter in Burgundy"/>
    <n v="327.56400000000002"/>
    <n v="4"/>
    <n v="21.837599999999998"/>
    <x v="3"/>
    <x v="0"/>
  </r>
  <r>
    <s v="CA-2015-166947"/>
    <x v="717"/>
    <d v="2015-06-10T00:00:00"/>
    <x v="1"/>
    <s v="EB-13750"/>
    <s v="Edward Becker"/>
    <x v="1"/>
    <s v="United States"/>
    <x v="252"/>
    <x v="7"/>
    <x v="2"/>
    <s v="FUR-CH-10004997"/>
    <x v="0"/>
    <x v="1"/>
    <s v="Hon Every-Day Series Multi-Task Chairs"/>
    <n v="1522.6379999999999"/>
    <n v="9"/>
    <n v="169.18199999999999"/>
    <x v="2"/>
    <x v="2"/>
  </r>
  <r>
    <s v="CA-2014-166086"/>
    <x v="718"/>
    <d v="2014-05-12T00:00:00"/>
    <x v="1"/>
    <s v="CT-11995"/>
    <s v="Carol Triggs"/>
    <x v="0"/>
    <s v="United States"/>
    <x v="37"/>
    <x v="20"/>
    <x v="2"/>
    <s v="FUR-TA-10003469"/>
    <x v="0"/>
    <x v="2"/>
    <s v="Balt Split Level Computer Training Table"/>
    <n v="194.25"/>
    <n v="2"/>
    <n v="-38.85"/>
    <x v="2"/>
    <x v="7"/>
  </r>
  <r>
    <s v="CA-2014-166086"/>
    <x v="718"/>
    <d v="2014-05-12T00:00:00"/>
    <x v="1"/>
    <s v="CT-11995"/>
    <s v="Carol Triggs"/>
    <x v="0"/>
    <s v="United States"/>
    <x v="37"/>
    <x v="20"/>
    <x v="2"/>
    <s v="FUR-CH-10004675"/>
    <x v="0"/>
    <x v="1"/>
    <s v="Lifetime Advantage Folding Chairs, 4/Carton"/>
    <n v="872.32"/>
    <n v="4"/>
    <n v="244.24959999999999"/>
    <x v="2"/>
    <x v="7"/>
  </r>
  <r>
    <s v="CA-2014-100678"/>
    <x v="719"/>
    <d v="2014-04-22T00:00:00"/>
    <x v="1"/>
    <s v="KM-16720"/>
    <s v="Kunst Miller"/>
    <x v="0"/>
    <s v="United States"/>
    <x v="6"/>
    <x v="5"/>
    <x v="3"/>
    <s v="FUR-CH-10002602"/>
    <x v="0"/>
    <x v="1"/>
    <s v="DMI Arturo Collection Mission-style Design Wood Chair"/>
    <n v="317.05799999999999"/>
    <n v="3"/>
    <n v="-18.117599999999999"/>
    <x v="4"/>
    <x v="6"/>
  </r>
  <r>
    <s v="CA-2017-123085"/>
    <x v="470"/>
    <d v="2017-03-08T00:00:00"/>
    <x v="1"/>
    <s v="EJ-13720"/>
    <s v="Ed Jacobs"/>
    <x v="0"/>
    <s v="United States"/>
    <x v="2"/>
    <x v="2"/>
    <x v="1"/>
    <s v="FUR-CH-10003968"/>
    <x v="0"/>
    <x v="1"/>
    <s v="Novimex Turbo Task Chair"/>
    <n v="170.352"/>
    <n v="3"/>
    <n v="-17.0352"/>
    <x v="2"/>
    <x v="9"/>
  </r>
  <r>
    <s v="CA-2016-169887"/>
    <x v="148"/>
    <d v="2016-10-22T00:00:00"/>
    <x v="3"/>
    <s v="MS-17530"/>
    <s v="MaryBeth Skach"/>
    <x v="0"/>
    <s v="United States"/>
    <x v="15"/>
    <x v="13"/>
    <x v="1"/>
    <s v="FUR-FU-10003095"/>
    <x v="0"/>
    <x v="3"/>
    <s v="Linden 12&quot; Wall Clock With Oak Frame"/>
    <n v="101.94"/>
    <n v="3"/>
    <n v="30.582000000000001"/>
    <x v="7"/>
    <x v="1"/>
  </r>
  <r>
    <s v="CA-2017-104731"/>
    <x v="720"/>
    <d v="2017-07-27T00:00:00"/>
    <x v="1"/>
    <s v="AM-10705"/>
    <s v="Anne McFarland"/>
    <x v="0"/>
    <s v="United States"/>
    <x v="279"/>
    <x v="25"/>
    <x v="0"/>
    <s v="FUR-FU-10003274"/>
    <x v="0"/>
    <x v="3"/>
    <s v="Regeneration Desk Collection"/>
    <n v="8.8000000000000007"/>
    <n v="5"/>
    <n v="3.8719999999999999"/>
    <x v="6"/>
    <x v="3"/>
  </r>
  <r>
    <s v="CA-2017-104731"/>
    <x v="720"/>
    <d v="2017-07-27T00:00:00"/>
    <x v="1"/>
    <s v="AM-10705"/>
    <s v="Anne McFarland"/>
    <x v="0"/>
    <s v="United States"/>
    <x v="279"/>
    <x v="25"/>
    <x v="0"/>
    <s v="FUR-BO-10003441"/>
    <x v="0"/>
    <x v="0"/>
    <s v="Bush Westfield Collection Bookcases, Fully Assembled"/>
    <n v="302.94"/>
    <n v="3"/>
    <n v="69.676199999999994"/>
    <x v="6"/>
    <x v="3"/>
  </r>
  <r>
    <s v="CA-2014-154095"/>
    <x v="116"/>
    <d v="2014-12-07T00:00:00"/>
    <x v="1"/>
    <s v="ON-18715"/>
    <s v="Odella Nelson"/>
    <x v="1"/>
    <s v="United States"/>
    <x v="218"/>
    <x v="32"/>
    <x v="2"/>
    <s v="FUR-FU-10003849"/>
    <x v="0"/>
    <x v="3"/>
    <s v="DAX Metal Frame, Desktop, Stepped-Edge"/>
    <n v="60.72"/>
    <n v="3"/>
    <n v="23.680800000000001"/>
    <x v="2"/>
    <x v="5"/>
  </r>
  <r>
    <s v="CA-2014-154095"/>
    <x v="116"/>
    <d v="2014-12-07T00:00:00"/>
    <x v="1"/>
    <s v="ON-18715"/>
    <s v="Odella Nelson"/>
    <x v="1"/>
    <s v="United States"/>
    <x v="218"/>
    <x v="32"/>
    <x v="2"/>
    <s v="FUR-CH-10004754"/>
    <x v="0"/>
    <x v="1"/>
    <s v="Global Stack Chair with Arms, Black"/>
    <n v="239.84"/>
    <n v="8"/>
    <n v="64.756799999999998"/>
    <x v="2"/>
    <x v="5"/>
  </r>
  <r>
    <s v="CA-2016-148852"/>
    <x v="205"/>
    <d v="2016-05-31T00:00:00"/>
    <x v="1"/>
    <s v="SV-20785"/>
    <s v="Stewart Visinsky"/>
    <x v="0"/>
    <s v="United States"/>
    <x v="72"/>
    <x v="2"/>
    <x v="1"/>
    <s v="FUR-CH-10004860"/>
    <x v="0"/>
    <x v="1"/>
    <s v="Global Low Back Tilter Chair"/>
    <n v="484.70400000000001"/>
    <n v="6"/>
    <n v="-84.8232"/>
    <x v="2"/>
    <x v="7"/>
  </r>
  <r>
    <s v="CA-2015-107678"/>
    <x v="721"/>
    <d v="2015-04-28T00:00:00"/>
    <x v="1"/>
    <s v="JK-16090"/>
    <s v="Juliana Krohn"/>
    <x v="0"/>
    <s v="United States"/>
    <x v="74"/>
    <x v="0"/>
    <x v="0"/>
    <s v="FUR-CH-10001891"/>
    <x v="0"/>
    <x v="1"/>
    <s v="Global Deluxe Office Fabric Chairs"/>
    <n v="191.96"/>
    <n v="2"/>
    <n v="51.8292"/>
    <x v="1"/>
    <x v="6"/>
  </r>
  <r>
    <s v="CA-2015-107678"/>
    <x v="721"/>
    <d v="2015-04-28T00:00:00"/>
    <x v="1"/>
    <s v="JK-16090"/>
    <s v="Juliana Krohn"/>
    <x v="0"/>
    <s v="United States"/>
    <x v="74"/>
    <x v="0"/>
    <x v="0"/>
    <s v="FUR-FU-10003394"/>
    <x v="0"/>
    <x v="3"/>
    <s v="Tenex &quot;The Solids&quot; Textured Chair Mats"/>
    <n v="209.88"/>
    <n v="3"/>
    <n v="35.679600000000001"/>
    <x v="1"/>
    <x v="6"/>
  </r>
  <r>
    <s v="CA-2016-123512"/>
    <x v="9"/>
    <d v="2016-06-19T00:00:00"/>
    <x v="2"/>
    <s v="MV-18190"/>
    <s v="Mike Vittorini"/>
    <x v="0"/>
    <s v="United States"/>
    <x v="2"/>
    <x v="2"/>
    <x v="1"/>
    <s v="FUR-BO-10004218"/>
    <x v="0"/>
    <x v="0"/>
    <s v="Bush Heritage Pine Collection 5-Shelf Bookcase, Albany Pine Finish, *Special Order"/>
    <n v="239.666"/>
    <n v="2"/>
    <n v="14.098000000000001"/>
    <x v="3"/>
    <x v="2"/>
  </r>
  <r>
    <s v="US-2017-167402"/>
    <x v="722"/>
    <d v="2017-01-18T00:00:00"/>
    <x v="0"/>
    <s v="CP-12085"/>
    <s v="Cathy Prescott"/>
    <x v="1"/>
    <s v="United States"/>
    <x v="76"/>
    <x v="23"/>
    <x v="3"/>
    <s v="FUR-BO-10001608"/>
    <x v="0"/>
    <x v="0"/>
    <s v="Hon Metal Bookcases, Black"/>
    <n v="212.94"/>
    <n v="3"/>
    <n v="53.234999999999999"/>
    <x v="2"/>
    <x v="8"/>
  </r>
  <r>
    <s v="CA-2014-130449"/>
    <x v="723"/>
    <d v="2014-09-09T00:00:00"/>
    <x v="2"/>
    <s v="VP-21760"/>
    <s v="Victoria Pisteka"/>
    <x v="1"/>
    <s v="United States"/>
    <x v="28"/>
    <x v="2"/>
    <x v="1"/>
    <s v="FUR-FU-10001487"/>
    <x v="0"/>
    <x v="3"/>
    <s v="Eldon Expressions Wood and Plastic Desk Accessories, Cherry Wood"/>
    <n v="41.88"/>
    <n v="6"/>
    <n v="12.145200000000001"/>
    <x v="0"/>
    <x v="4"/>
  </r>
  <r>
    <s v="CA-2015-141250"/>
    <x v="724"/>
    <d v="2015-01-23T00:00:00"/>
    <x v="1"/>
    <s v="PM-18940"/>
    <s v="Paul MacIntyre"/>
    <x v="0"/>
    <s v="United States"/>
    <x v="303"/>
    <x v="5"/>
    <x v="3"/>
    <s v="FUR-TA-10002855"/>
    <x v="0"/>
    <x v="2"/>
    <s v="Bevis Round Conference Table Top &amp; Single Column Base"/>
    <n v="102.438"/>
    <n v="1"/>
    <n v="-13.1706"/>
    <x v="4"/>
    <x v="8"/>
  </r>
  <r>
    <s v="CA-2015-141250"/>
    <x v="724"/>
    <d v="2015-01-23T00:00:00"/>
    <x v="1"/>
    <s v="PM-18940"/>
    <s v="Paul MacIntyre"/>
    <x v="0"/>
    <s v="United States"/>
    <x v="303"/>
    <x v="5"/>
    <x v="3"/>
    <s v="FUR-CH-10004875"/>
    <x v="0"/>
    <x v="1"/>
    <s v="Harbour Creations 67200 Series Stacking Chairs"/>
    <n v="199.304"/>
    <n v="4"/>
    <n v="-8.5416000000000007"/>
    <x v="4"/>
    <x v="8"/>
  </r>
  <r>
    <s v="CA-2016-105081"/>
    <x v="683"/>
    <d v="2016-12-30T00:00:00"/>
    <x v="1"/>
    <s v="JE-15715"/>
    <s v="Joe Elijah"/>
    <x v="0"/>
    <s v="United States"/>
    <x v="15"/>
    <x v="13"/>
    <x v="1"/>
    <s v="FUR-CH-10000847"/>
    <x v="0"/>
    <x v="1"/>
    <s v="Global Executive Mid-Back Manager's Chair"/>
    <n v="698.35199999999998"/>
    <n v="3"/>
    <n v="52.376399999999997"/>
    <x v="2"/>
    <x v="5"/>
  </r>
  <r>
    <s v="CA-2016-105081"/>
    <x v="683"/>
    <d v="2016-12-30T00:00:00"/>
    <x v="1"/>
    <s v="JE-15715"/>
    <s v="Joe Elijah"/>
    <x v="0"/>
    <s v="United States"/>
    <x v="15"/>
    <x v="13"/>
    <x v="1"/>
    <s v="FUR-TA-10001307"/>
    <x v="0"/>
    <x v="2"/>
    <s v="SAFCO PlanMaster Heigh-Adjustable Drafting Table Base, 43w x 30d x 30-37h, Black"/>
    <n v="1747.25"/>
    <n v="5"/>
    <n v="629.01"/>
    <x v="2"/>
    <x v="5"/>
  </r>
  <r>
    <s v="CA-2014-108609"/>
    <x v="314"/>
    <d v="2014-11-02T00:00:00"/>
    <x v="0"/>
    <s v="AJ-10780"/>
    <s v="Anthony Jacobs"/>
    <x v="1"/>
    <s v="United States"/>
    <x v="75"/>
    <x v="15"/>
    <x v="2"/>
    <s v="FUR-TA-10003954"/>
    <x v="0"/>
    <x v="2"/>
    <s v="Hon 94000 Series Round Tables"/>
    <n v="1421.664"/>
    <n v="8"/>
    <n v="-734.52639999999997"/>
    <x v="3"/>
    <x v="1"/>
  </r>
  <r>
    <s v="US-2016-127334"/>
    <x v="120"/>
    <d v="2016-12-21T00:00:00"/>
    <x v="1"/>
    <s v="MP-18175"/>
    <s v="Mike Pelletier"/>
    <x v="2"/>
    <s v="United States"/>
    <x v="76"/>
    <x v="36"/>
    <x v="1"/>
    <s v="FUR-TA-10003473"/>
    <x v="0"/>
    <x v="2"/>
    <s v="Bretford Rectangular Conference Table Tops"/>
    <n v="564.19500000000005"/>
    <n v="3"/>
    <n v="-304.6653"/>
    <x v="6"/>
    <x v="5"/>
  </r>
  <r>
    <s v="US-2017-124779"/>
    <x v="272"/>
    <d v="2017-09-11T00:00:00"/>
    <x v="2"/>
    <s v="BF-11020"/>
    <s v="Barry Franzšsisch"/>
    <x v="1"/>
    <s v="United States"/>
    <x v="58"/>
    <x v="5"/>
    <x v="3"/>
    <s v="FUR-FU-10001095"/>
    <x v="0"/>
    <x v="3"/>
    <s v="DAX Black Cherry Wood-Tone Poster Frame"/>
    <n v="21.184000000000001"/>
    <n v="2"/>
    <n v="-11.651199999999999"/>
    <x v="0"/>
    <x v="4"/>
  </r>
  <r>
    <s v="US-2017-124779"/>
    <x v="272"/>
    <d v="2017-09-11T00:00:00"/>
    <x v="2"/>
    <s v="BF-11020"/>
    <s v="Barry Franzšsisch"/>
    <x v="1"/>
    <s v="United States"/>
    <x v="58"/>
    <x v="5"/>
    <x v="3"/>
    <s v="FUR-CH-10003535"/>
    <x v="0"/>
    <x v="1"/>
    <s v="Global Armless Task Chair, Royal Blue"/>
    <n v="213.43"/>
    <n v="5"/>
    <n v="-39.637"/>
    <x v="0"/>
    <x v="4"/>
  </r>
  <r>
    <s v="CA-2017-135937"/>
    <x v="134"/>
    <d v="2017-02-27T00:00:00"/>
    <x v="1"/>
    <s v="KM-16375"/>
    <s v="Katherine Murray"/>
    <x v="2"/>
    <s v="United States"/>
    <x v="171"/>
    <x v="22"/>
    <x v="1"/>
    <s v="FUR-FU-10002253"/>
    <x v="0"/>
    <x v="3"/>
    <s v="Howard Miller 13&quot; Diameter Pewter Finish Round Wall Clock"/>
    <n v="68.703999999999994"/>
    <n v="2"/>
    <n v="16.3172"/>
    <x v="1"/>
    <x v="11"/>
  </r>
  <r>
    <s v="CA-2017-135937"/>
    <x v="134"/>
    <d v="2017-02-27T00:00:00"/>
    <x v="1"/>
    <s v="KM-16375"/>
    <s v="Katherine Murray"/>
    <x v="2"/>
    <s v="United States"/>
    <x v="171"/>
    <x v="22"/>
    <x v="1"/>
    <s v="FUR-TA-10001039"/>
    <x v="0"/>
    <x v="2"/>
    <s v="KI Adjustable-Height Table"/>
    <n v="386.91"/>
    <n v="9"/>
    <n v="-185.71680000000001"/>
    <x v="1"/>
    <x v="11"/>
  </r>
  <r>
    <s v="CA-2017-162173"/>
    <x v="725"/>
    <d v="2017-11-01T00:00:00"/>
    <x v="1"/>
    <s v="OT-18730"/>
    <s v="Olvera Toch"/>
    <x v="0"/>
    <s v="United States"/>
    <x v="304"/>
    <x v="25"/>
    <x v="0"/>
    <s v="FUR-TA-10001520"/>
    <x v="0"/>
    <x v="2"/>
    <s v="Lesro Sheffield Collection Coffee Table, End Table, Center Table, Corner Table"/>
    <n v="356.85"/>
    <n v="5"/>
    <n v="60.664499999999997"/>
    <x v="6"/>
    <x v="1"/>
  </r>
  <r>
    <s v="CA-2017-122175"/>
    <x v="666"/>
    <d v="2017-05-14T00:00:00"/>
    <x v="0"/>
    <s v="CA-12775"/>
    <s v="Cynthia Arntzen"/>
    <x v="0"/>
    <s v="United States"/>
    <x v="109"/>
    <x v="18"/>
    <x v="2"/>
    <s v="FUR-FU-10000719"/>
    <x v="0"/>
    <x v="3"/>
    <s v="DAX Cubicle Frames, 8-1/2 x 11"/>
    <n v="42.85"/>
    <n v="5"/>
    <n v="15.426"/>
    <x v="3"/>
    <x v="7"/>
  </r>
  <r>
    <s v="CA-2015-135510"/>
    <x v="278"/>
    <d v="2015-09-12T00:00:00"/>
    <x v="1"/>
    <s v="TW-21025"/>
    <s v="Tamara Willingham"/>
    <x v="2"/>
    <s v="United States"/>
    <x v="305"/>
    <x v="25"/>
    <x v="0"/>
    <s v="FUR-FU-10000820"/>
    <x v="0"/>
    <x v="3"/>
    <s v="Tensor Brushed Steel Torchiere Floor Lamp"/>
    <n v="67.959999999999994"/>
    <n v="4"/>
    <n v="12.232799999999999"/>
    <x v="1"/>
    <x v="4"/>
  </r>
  <r>
    <s v="CA-2014-150329"/>
    <x v="567"/>
    <d v="2014-10-14T00:00:00"/>
    <x v="1"/>
    <s v="SD-20485"/>
    <s v="Shirley Daniels"/>
    <x v="2"/>
    <s v="United States"/>
    <x v="43"/>
    <x v="22"/>
    <x v="1"/>
    <s v="FUR-FU-10003724"/>
    <x v="0"/>
    <x v="3"/>
    <s v="Westinghouse Clip-On Gooseneck Lamps"/>
    <n v="46.872"/>
    <n v="7"/>
    <n v="3.5154000000000001"/>
    <x v="4"/>
    <x v="1"/>
  </r>
  <r>
    <s v="CA-2014-109134"/>
    <x v="726"/>
    <d v="2014-11-10T00:00:00"/>
    <x v="1"/>
    <s v="DE-13255"/>
    <s v="Deanra Eno"/>
    <x v="2"/>
    <s v="United States"/>
    <x v="2"/>
    <x v="2"/>
    <x v="1"/>
    <s v="FUR-FU-10000320"/>
    <x v="0"/>
    <x v="3"/>
    <s v="OIC Stacking Trays"/>
    <n v="20.04"/>
    <n v="6"/>
    <n v="8.8176000000000005"/>
    <x v="2"/>
    <x v="0"/>
  </r>
  <r>
    <s v="US-2015-129637"/>
    <x v="584"/>
    <d v="2015-12-22T00:00:00"/>
    <x v="1"/>
    <s v="MC-18100"/>
    <s v="Mick Crebagga"/>
    <x v="0"/>
    <s v="United States"/>
    <x v="17"/>
    <x v="8"/>
    <x v="3"/>
    <s v="FUR-FU-10000965"/>
    <x v="0"/>
    <x v="3"/>
    <s v="Howard Miller 11-1/2&quot; Diameter Ridgewood Wall Clock"/>
    <n v="41.552"/>
    <n v="2"/>
    <n v="-19.737200000000001"/>
    <x v="2"/>
    <x v="5"/>
  </r>
  <r>
    <s v="CA-2017-145429"/>
    <x v="720"/>
    <d v="2017-07-25T00:00:00"/>
    <x v="1"/>
    <s v="SW-20455"/>
    <s v="Shaun Weien"/>
    <x v="0"/>
    <s v="United States"/>
    <x v="53"/>
    <x v="2"/>
    <x v="1"/>
    <s v="FUR-CH-10000988"/>
    <x v="0"/>
    <x v="1"/>
    <s v="Hon Olson Stacker Stools"/>
    <n v="225.29599999999999"/>
    <n v="2"/>
    <n v="22.529599999999999"/>
    <x v="4"/>
    <x v="3"/>
  </r>
  <r>
    <s v="CA-2015-153535"/>
    <x v="727"/>
    <d v="2015-05-24T00:00:00"/>
    <x v="1"/>
    <s v="SG-20470"/>
    <s v="Sheri Gordon"/>
    <x v="0"/>
    <s v="United States"/>
    <x v="306"/>
    <x v="30"/>
    <x v="0"/>
    <s v="FUR-FU-10001986"/>
    <x v="0"/>
    <x v="3"/>
    <s v="Dana Fluorescent Magnifying Lamp, White, 36&quot;"/>
    <n v="163.136"/>
    <n v="4"/>
    <n v="20.391999999999999"/>
    <x v="4"/>
    <x v="7"/>
  </r>
  <r>
    <s v="CA-2015-123141"/>
    <x v="502"/>
    <d v="2015-11-19T00:00:00"/>
    <x v="1"/>
    <s v="GZ-14470"/>
    <s v="Gary Zandusky"/>
    <x v="0"/>
    <s v="United States"/>
    <x v="307"/>
    <x v="41"/>
    <x v="1"/>
    <s v="FUR-CH-10004287"/>
    <x v="0"/>
    <x v="1"/>
    <s v="SAFCO Arco Folding Chair"/>
    <n v="883.84"/>
    <n v="4"/>
    <n v="99.432000000000002"/>
    <x v="2"/>
    <x v="0"/>
  </r>
  <r>
    <s v="CA-2015-123141"/>
    <x v="502"/>
    <d v="2015-11-19T00:00:00"/>
    <x v="1"/>
    <s v="GZ-14470"/>
    <s v="Gary Zandusky"/>
    <x v="0"/>
    <s v="United States"/>
    <x v="307"/>
    <x v="41"/>
    <x v="1"/>
    <s v="FUR-CH-10001891"/>
    <x v="0"/>
    <x v="1"/>
    <s v="Global Deluxe Office Fabric Chairs"/>
    <n v="230.352"/>
    <n v="3"/>
    <n v="20.155799999999999"/>
    <x v="2"/>
    <x v="0"/>
  </r>
  <r>
    <s v="CA-2017-107629"/>
    <x v="417"/>
    <d v="2017-12-14T00:00:00"/>
    <x v="3"/>
    <s v="DB-13060"/>
    <s v="Dave Brooks"/>
    <x v="0"/>
    <s v="United States"/>
    <x v="187"/>
    <x v="8"/>
    <x v="3"/>
    <s v="FUR-FU-10002298"/>
    <x v="0"/>
    <x v="3"/>
    <s v="Rubbermaid ClusterMat Chairmats, Mat Size- 66&quot; x 60&quot;, Lip 20&quot; x 11&quot; -90 Degree Angle"/>
    <n v="266.35199999999998"/>
    <n v="6"/>
    <n v="-292.98719999999997"/>
    <x v="7"/>
    <x v="5"/>
  </r>
  <r>
    <s v="CA-2017-107629"/>
    <x v="417"/>
    <d v="2017-12-14T00:00:00"/>
    <x v="3"/>
    <s v="DB-13060"/>
    <s v="Dave Brooks"/>
    <x v="0"/>
    <s v="United States"/>
    <x v="187"/>
    <x v="8"/>
    <x v="3"/>
    <s v="FUR-FU-10004091"/>
    <x v="0"/>
    <x v="3"/>
    <s v="Howard Miller 13&quot; Diameter Goldtone Round Wall Clock"/>
    <n v="56.328000000000003"/>
    <n v="3"/>
    <n v="-26.755800000000001"/>
    <x v="7"/>
    <x v="5"/>
  </r>
  <r>
    <s v="CA-2016-134789"/>
    <x v="57"/>
    <d v="2016-04-15T00:00:00"/>
    <x v="1"/>
    <s v="CK-12325"/>
    <s v="Christine Kargatis"/>
    <x v="2"/>
    <s v="United States"/>
    <x v="308"/>
    <x v="31"/>
    <x v="0"/>
    <s v="FUR-FU-10003268"/>
    <x v="0"/>
    <x v="3"/>
    <s v="Eldon Radial Chair Mat for Low to Medium Pile Carpets"/>
    <n v="159.91999999999999"/>
    <n v="4"/>
    <n v="31.984000000000002"/>
    <x v="1"/>
    <x v="6"/>
  </r>
  <r>
    <s v="CA-2016-165827"/>
    <x v="114"/>
    <d v="2016-11-09T00:00:00"/>
    <x v="1"/>
    <s v="MF-17665"/>
    <s v="Maureen Fritzler"/>
    <x v="1"/>
    <s v="United States"/>
    <x v="89"/>
    <x v="1"/>
    <x v="0"/>
    <s v="FUR-FU-10001889"/>
    <x v="0"/>
    <x v="3"/>
    <s v="Ultra Door Pull Handle"/>
    <n v="50.496000000000002"/>
    <n v="6"/>
    <n v="8.2056000000000004"/>
    <x v="2"/>
    <x v="0"/>
  </r>
  <r>
    <s v="CA-2015-156734"/>
    <x v="311"/>
    <d v="2015-06-20T00:00:00"/>
    <x v="2"/>
    <s v="BV-11245"/>
    <s v="Benjamin Venier"/>
    <x v="1"/>
    <s v="United States"/>
    <x v="107"/>
    <x v="9"/>
    <x v="0"/>
    <s v="FUR-CH-10002965"/>
    <x v="0"/>
    <x v="1"/>
    <s v="Global Leather Highback Executive Chair with Pneumatic Height Adjustment, Black"/>
    <n v="643.13599999999997"/>
    <n v="4"/>
    <n v="56.2744"/>
    <x v="3"/>
    <x v="2"/>
  </r>
  <r>
    <s v="CA-2014-144029"/>
    <x v="261"/>
    <d v="2014-05-31T00:00:00"/>
    <x v="1"/>
    <s v="MM-18055"/>
    <s v="Michelle Moray"/>
    <x v="0"/>
    <s v="United States"/>
    <x v="9"/>
    <x v="8"/>
    <x v="3"/>
    <s v="FUR-CH-10003981"/>
    <x v="0"/>
    <x v="1"/>
    <s v="Global Commerce Series Low-Back Swivel/Tilt Chairs"/>
    <n v="359.77199999999999"/>
    <n v="2"/>
    <n v="-5.1395999999999997"/>
    <x v="2"/>
    <x v="7"/>
  </r>
  <r>
    <s v="US-2017-101784"/>
    <x v="682"/>
    <d v="2017-07-11T00:00:00"/>
    <x v="1"/>
    <s v="PO-18850"/>
    <s v="Patrick O'Brill"/>
    <x v="0"/>
    <s v="United States"/>
    <x v="2"/>
    <x v="2"/>
    <x v="1"/>
    <s v="FUR-CH-10001146"/>
    <x v="0"/>
    <x v="1"/>
    <s v="Global Task Chair, Black"/>
    <n v="122.136"/>
    <n v="3"/>
    <n v="-13.7403"/>
    <x v="2"/>
    <x v="3"/>
  </r>
  <r>
    <s v="CA-2016-154767"/>
    <x v="728"/>
    <d v="2016-06-30T00:00:00"/>
    <x v="0"/>
    <s v="BP-11155"/>
    <s v="Becky Pak"/>
    <x v="0"/>
    <s v="United States"/>
    <x v="309"/>
    <x v="18"/>
    <x v="2"/>
    <s v="FUR-CH-10003535"/>
    <x v="0"/>
    <x v="1"/>
    <s v="Global Armless Task Chair, Royal Blue"/>
    <n v="121.96"/>
    <n v="2"/>
    <n v="20.7332"/>
    <x v="3"/>
    <x v="2"/>
  </r>
  <r>
    <s v="CA-2017-124205"/>
    <x v="102"/>
    <d v="2017-09-19T00:00:00"/>
    <x v="1"/>
    <s v="TC-21145"/>
    <s v="Theresa Coyne"/>
    <x v="1"/>
    <s v="United States"/>
    <x v="174"/>
    <x v="18"/>
    <x v="2"/>
    <s v="FUR-FU-10002445"/>
    <x v="0"/>
    <x v="3"/>
    <s v="DAX Two-Tone Rosewood/Black Document Frame, Desktop, 5 x 7"/>
    <n v="47.4"/>
    <n v="5"/>
    <n v="18.96"/>
    <x v="4"/>
    <x v="4"/>
  </r>
  <r>
    <s v="CA-2017-124205"/>
    <x v="102"/>
    <d v="2017-09-19T00:00:00"/>
    <x v="1"/>
    <s v="TC-21145"/>
    <s v="Theresa Coyne"/>
    <x v="1"/>
    <s v="United States"/>
    <x v="174"/>
    <x v="18"/>
    <x v="2"/>
    <s v="FUR-CH-10003606"/>
    <x v="0"/>
    <x v="1"/>
    <s v="SAFCO Folding Chair Trolley"/>
    <n v="512.96"/>
    <n v="4"/>
    <n v="143.62880000000001"/>
    <x v="4"/>
    <x v="4"/>
  </r>
  <r>
    <s v="CA-2016-162943"/>
    <x v="729"/>
    <d v="2016-07-26T00:00:00"/>
    <x v="0"/>
    <s v="DB-12970"/>
    <s v="Darren Budd"/>
    <x v="1"/>
    <s v="United States"/>
    <x v="13"/>
    <x v="7"/>
    <x v="2"/>
    <s v="FUR-CH-10001708"/>
    <x v="0"/>
    <x v="1"/>
    <s v="Office Star - Contemporary Swivel Chair with Padded Adjustable Arms and Flex Back"/>
    <n v="253.76400000000001"/>
    <n v="2"/>
    <n v="31.015599999999999"/>
    <x v="3"/>
    <x v="3"/>
  </r>
  <r>
    <s v="CA-2017-100615"/>
    <x v="333"/>
    <d v="2017-04-24T00:00:00"/>
    <x v="1"/>
    <s v="SJ-20215"/>
    <s v="Sarah Jordon"/>
    <x v="0"/>
    <s v="United States"/>
    <x v="9"/>
    <x v="8"/>
    <x v="3"/>
    <s v="FUR-CH-10002602"/>
    <x v="0"/>
    <x v="1"/>
    <s v="DMI Arturo Collection Mission-style Design Wood Chair"/>
    <n v="317.05799999999999"/>
    <n v="3"/>
    <n v="-18.117599999999999"/>
    <x v="4"/>
    <x v="6"/>
  </r>
  <r>
    <s v="CA-2017-100615"/>
    <x v="333"/>
    <d v="2017-04-24T00:00:00"/>
    <x v="1"/>
    <s v="SJ-20215"/>
    <s v="Sarah Jordon"/>
    <x v="0"/>
    <s v="United States"/>
    <x v="9"/>
    <x v="8"/>
    <x v="3"/>
    <s v="FUR-FU-10002456"/>
    <x v="0"/>
    <x v="3"/>
    <s v="Master Caster Door Stop, Large Neon Orange"/>
    <n v="14.56"/>
    <n v="5"/>
    <n v="-6.1879999999999997"/>
    <x v="4"/>
    <x v="6"/>
  </r>
  <r>
    <s v="US-2016-147711"/>
    <x v="222"/>
    <d v="2016-09-08T00:00:00"/>
    <x v="0"/>
    <s v="HF-14995"/>
    <s v="Herbert Flentye"/>
    <x v="0"/>
    <s v="United States"/>
    <x v="237"/>
    <x v="32"/>
    <x v="2"/>
    <s v="FUR-BO-10003159"/>
    <x v="0"/>
    <x v="0"/>
    <s v="Sauder Camden County Collection Libraries, Planked Cherry Finish"/>
    <n v="344.94"/>
    <n v="3"/>
    <n v="31.044599999999999"/>
    <x v="2"/>
    <x v="4"/>
  </r>
  <r>
    <s v="US-2016-147711"/>
    <x v="222"/>
    <d v="2016-09-08T00:00:00"/>
    <x v="0"/>
    <s v="HF-14995"/>
    <s v="Herbert Flentye"/>
    <x v="0"/>
    <s v="United States"/>
    <x v="237"/>
    <x v="32"/>
    <x v="2"/>
    <s v="FUR-FU-10002364"/>
    <x v="0"/>
    <x v="3"/>
    <s v="Eldon Expressions Wood Desk Accessories, Oak"/>
    <n v="14.76"/>
    <n v="2"/>
    <n v="4.2804000000000002"/>
    <x v="2"/>
    <x v="4"/>
  </r>
  <r>
    <s v="CA-2017-121293"/>
    <x v="730"/>
    <d v="2017-07-28T00:00:00"/>
    <x v="0"/>
    <s v="JC-15775"/>
    <s v="John Castell"/>
    <x v="0"/>
    <s v="United States"/>
    <x v="3"/>
    <x v="3"/>
    <x v="2"/>
    <s v="FUR-FU-10000732"/>
    <x v="0"/>
    <x v="3"/>
    <s v="Eldon 200 Class Desk Accessories"/>
    <n v="20.096"/>
    <n v="4"/>
    <n v="3.0144000000000002"/>
    <x v="0"/>
    <x v="3"/>
  </r>
  <r>
    <s v="CA-2017-121293"/>
    <x v="730"/>
    <d v="2017-07-28T00:00:00"/>
    <x v="0"/>
    <s v="JC-15775"/>
    <s v="John Castell"/>
    <x v="0"/>
    <s v="United States"/>
    <x v="3"/>
    <x v="3"/>
    <x v="2"/>
    <s v="FUR-TA-10001771"/>
    <x v="0"/>
    <x v="2"/>
    <s v="Bush Cubix Conference Tables, Fully Assembled"/>
    <n v="138.58799999999999"/>
    <n v="1"/>
    <n v="-34.646999999999998"/>
    <x v="0"/>
    <x v="3"/>
  </r>
  <r>
    <s v="CA-2015-118843"/>
    <x v="615"/>
    <d v="2015-09-20T00:00:00"/>
    <x v="1"/>
    <s v="JH-15910"/>
    <s v="Jonathan Howell"/>
    <x v="0"/>
    <s v="United States"/>
    <x v="182"/>
    <x v="24"/>
    <x v="0"/>
    <s v="FUR-FU-10003975"/>
    <x v="0"/>
    <x v="3"/>
    <s v="Eldon Advantage Chair Mats for Low to Medium Pile Carpets"/>
    <n v="129.93"/>
    <n v="3"/>
    <n v="12.993"/>
    <x v="1"/>
    <x v="4"/>
  </r>
  <r>
    <s v="CA-2016-162348"/>
    <x v="480"/>
    <d v="2016-11-15T00:00:00"/>
    <x v="1"/>
    <s v="BF-11170"/>
    <s v="Ben Ferrer"/>
    <x v="2"/>
    <s v="United States"/>
    <x v="155"/>
    <x v="2"/>
    <x v="1"/>
    <s v="FUR-FU-10003731"/>
    <x v="0"/>
    <x v="3"/>
    <s v="Eldon Expressions Wood and Plastic Desk Accessories, Oak"/>
    <n v="9.98"/>
    <n v="1"/>
    <n v="2.7944"/>
    <x v="2"/>
    <x v="0"/>
  </r>
  <r>
    <s v="CA-2015-145394"/>
    <x v="397"/>
    <d v="2015-11-20T00:00:00"/>
    <x v="1"/>
    <s v="MC-17605"/>
    <s v="Matt Connell"/>
    <x v="1"/>
    <s v="United States"/>
    <x v="9"/>
    <x v="8"/>
    <x v="3"/>
    <s v="FUR-FU-10001215"/>
    <x v="0"/>
    <x v="3"/>
    <s v="Howard Miller 11-1/2&quot; Diameter Brentwood Wall Clock"/>
    <n v="34.503999999999998"/>
    <n v="2"/>
    <n v="-15.5268"/>
    <x v="4"/>
    <x v="0"/>
  </r>
  <r>
    <s v="CA-2015-168809"/>
    <x v="382"/>
    <d v="2015-08-25T00:00:00"/>
    <x v="3"/>
    <s v="MC-18100"/>
    <s v="Mick Crebagga"/>
    <x v="0"/>
    <s v="United States"/>
    <x v="6"/>
    <x v="5"/>
    <x v="3"/>
    <s v="FUR-FU-10001473"/>
    <x v="0"/>
    <x v="3"/>
    <s v="Eldon Executive Woodline II Desk Accessories, Mahogany"/>
    <n v="20.103999999999999"/>
    <n v="2"/>
    <n v="-16.585799999999999"/>
    <x v="7"/>
    <x v="10"/>
  </r>
  <r>
    <s v="CA-2015-168809"/>
    <x v="382"/>
    <d v="2015-08-25T00:00:00"/>
    <x v="3"/>
    <s v="MC-18100"/>
    <s v="Mick Crebagga"/>
    <x v="0"/>
    <s v="United States"/>
    <x v="6"/>
    <x v="5"/>
    <x v="3"/>
    <s v="FUR-FU-10002240"/>
    <x v="0"/>
    <x v="3"/>
    <s v="Nu-Dell EZ-Mount Plastic Wall Frames"/>
    <n v="7.88"/>
    <n v="5"/>
    <n v="-3.94"/>
    <x v="7"/>
    <x v="10"/>
  </r>
  <r>
    <s v="CA-2016-109827"/>
    <x v="683"/>
    <d v="2017-01-01T00:00:00"/>
    <x v="1"/>
    <s v="LW-16825"/>
    <s v="Laurel Workman"/>
    <x v="1"/>
    <s v="United States"/>
    <x v="43"/>
    <x v="22"/>
    <x v="1"/>
    <s v="FUR-TA-10002607"/>
    <x v="0"/>
    <x v="2"/>
    <s v="KI Conference Tables"/>
    <n v="35.445"/>
    <n v="1"/>
    <n v="-24.102599999999999"/>
    <x v="1"/>
    <x v="5"/>
  </r>
  <r>
    <s v="CA-2016-109827"/>
    <x v="683"/>
    <d v="2017-01-01T00:00:00"/>
    <x v="1"/>
    <s v="LW-16825"/>
    <s v="Laurel Workman"/>
    <x v="1"/>
    <s v="United States"/>
    <x v="43"/>
    <x v="22"/>
    <x v="1"/>
    <s v="FUR-CH-10004754"/>
    <x v="0"/>
    <x v="1"/>
    <s v="Global Stack Chair with Arms, Black"/>
    <n v="47.968000000000004"/>
    <n v="2"/>
    <n v="4.1971999999999996"/>
    <x v="1"/>
    <x v="5"/>
  </r>
  <r>
    <s v="CA-2015-128125"/>
    <x v="731"/>
    <d v="2015-04-05T00:00:00"/>
    <x v="1"/>
    <s v="EB-13705"/>
    <s v="Ed Braxton"/>
    <x v="1"/>
    <s v="United States"/>
    <x v="6"/>
    <x v="5"/>
    <x v="3"/>
    <s v="FUR-FU-10001085"/>
    <x v="0"/>
    <x v="3"/>
    <s v="3M Polarizing Light Filter Sleeves"/>
    <n v="22.38"/>
    <n v="3"/>
    <n v="-7.8330000000000002"/>
    <x v="2"/>
    <x v="9"/>
  </r>
  <r>
    <s v="CA-2017-156237"/>
    <x v="732"/>
    <d v="2017-09-15T00:00:00"/>
    <x v="2"/>
    <s v="PS-18760"/>
    <s v="Pamela Stobb"/>
    <x v="0"/>
    <s v="United States"/>
    <x v="3"/>
    <x v="3"/>
    <x v="2"/>
    <s v="FUR-CH-10002372"/>
    <x v="0"/>
    <x v="1"/>
    <s v="Office Star - Ergonomically Designed Knee Chair"/>
    <n v="113.372"/>
    <n v="2"/>
    <n v="-29.152799999999999"/>
    <x v="5"/>
    <x v="4"/>
  </r>
  <r>
    <s v="CA-2017-156237"/>
    <x v="732"/>
    <d v="2017-09-15T00:00:00"/>
    <x v="2"/>
    <s v="PS-18760"/>
    <s v="Pamela Stobb"/>
    <x v="0"/>
    <s v="United States"/>
    <x v="3"/>
    <x v="3"/>
    <x v="2"/>
    <s v="FUR-FU-10001057"/>
    <x v="0"/>
    <x v="3"/>
    <s v="Tensor Track Tree Floor Lamp"/>
    <n v="127.93600000000001"/>
    <n v="8"/>
    <n v="4.7976000000000001"/>
    <x v="5"/>
    <x v="4"/>
  </r>
  <r>
    <s v="CA-2014-144414"/>
    <x v="733"/>
    <d v="2014-06-21T00:00:00"/>
    <x v="1"/>
    <s v="GH-14425"/>
    <s v="Gary Hwang"/>
    <x v="0"/>
    <s v="United States"/>
    <x v="15"/>
    <x v="13"/>
    <x v="1"/>
    <s v="FUR-FU-10003981"/>
    <x v="0"/>
    <x v="3"/>
    <s v="Eldon Wave Desk Accessories"/>
    <n v="6.24"/>
    <n v="3"/>
    <n v="2.6208"/>
    <x v="4"/>
    <x v="2"/>
  </r>
  <r>
    <s v="CA-2017-163860"/>
    <x v="158"/>
    <d v="2018-01-01T00:00:00"/>
    <x v="1"/>
    <s v="LO-17170"/>
    <s v="Lori Olson"/>
    <x v="1"/>
    <s v="United States"/>
    <x v="117"/>
    <x v="8"/>
    <x v="3"/>
    <s v="FUR-FU-10004586"/>
    <x v="0"/>
    <x v="3"/>
    <s v="G.E. Longer-Life Indoor Recessed Floodlight Bulbs"/>
    <n v="7.968"/>
    <n v="3"/>
    <n v="-2.3904000000000001"/>
    <x v="4"/>
    <x v="5"/>
  </r>
  <r>
    <s v="CA-2017-163860"/>
    <x v="158"/>
    <d v="2018-01-01T00:00:00"/>
    <x v="1"/>
    <s v="LO-17170"/>
    <s v="Lori Olson"/>
    <x v="1"/>
    <s v="United States"/>
    <x v="117"/>
    <x v="8"/>
    <x v="3"/>
    <s v="FUR-CH-10004698"/>
    <x v="0"/>
    <x v="1"/>
    <s v="Padded Folding Chairs, Black, 4/Carton"/>
    <n v="113.372"/>
    <n v="2"/>
    <n v="-3.2391999999999999"/>
    <x v="4"/>
    <x v="5"/>
  </r>
  <r>
    <s v="CA-2017-163860"/>
    <x v="158"/>
    <d v="2018-01-01T00:00:00"/>
    <x v="1"/>
    <s v="LO-17170"/>
    <s v="Lori Olson"/>
    <x v="1"/>
    <s v="United States"/>
    <x v="117"/>
    <x v="8"/>
    <x v="3"/>
    <s v="FUR-FU-10001935"/>
    <x v="0"/>
    <x v="3"/>
    <s v="3M Hangers With Command Adhesive"/>
    <n v="2.96"/>
    <n v="2"/>
    <n v="-1.4059999999999999"/>
    <x v="4"/>
    <x v="5"/>
  </r>
  <r>
    <s v="CA-2015-154291"/>
    <x v="396"/>
    <d v="2015-07-29T00:00:00"/>
    <x v="1"/>
    <s v="YS-21880"/>
    <s v="Yana Sorensen"/>
    <x v="1"/>
    <s v="United States"/>
    <x v="132"/>
    <x v="33"/>
    <x v="0"/>
    <s v="FUR-TA-10002041"/>
    <x v="0"/>
    <x v="2"/>
    <s v="Bevis Round Conference Table Top, X-Base"/>
    <n v="358.58"/>
    <n v="2"/>
    <n v="39.443800000000003"/>
    <x v="4"/>
    <x v="3"/>
  </r>
  <r>
    <s v="CA-2016-153101"/>
    <x v="63"/>
    <d v="2016-09-08T00:00:00"/>
    <x v="3"/>
    <s v="PJ-19015"/>
    <s v="Pauline Johnson"/>
    <x v="0"/>
    <s v="United States"/>
    <x v="72"/>
    <x v="2"/>
    <x v="1"/>
    <s v="FUR-TA-10003008"/>
    <x v="0"/>
    <x v="2"/>
    <s v="Lesro Round Back Collection Coffee Table, End Table"/>
    <n v="146.04"/>
    <n v="1"/>
    <n v="-12.778499999999999"/>
    <x v="7"/>
    <x v="4"/>
  </r>
  <r>
    <s v="CA-2017-142643"/>
    <x v="487"/>
    <d v="2017-10-20T00:00:00"/>
    <x v="1"/>
    <s v="DL-13495"/>
    <s v="Dionis Lloyd"/>
    <x v="1"/>
    <s v="United States"/>
    <x v="310"/>
    <x v="2"/>
    <x v="1"/>
    <s v="FUR-FU-10000087"/>
    <x v="0"/>
    <x v="3"/>
    <s v="Executive Impressions 14&quot; Two-Color Numerals Wall Clock"/>
    <n v="22.72"/>
    <n v="1"/>
    <n v="9.3152000000000008"/>
    <x v="2"/>
    <x v="1"/>
  </r>
  <r>
    <s v="CA-2016-123946"/>
    <x v="51"/>
    <d v="2016-09-17T00:00:00"/>
    <x v="1"/>
    <s v="AJ-10795"/>
    <s v="Anthony Johnson"/>
    <x v="1"/>
    <s v="United States"/>
    <x v="76"/>
    <x v="25"/>
    <x v="0"/>
    <s v="FUR-CH-10002073"/>
    <x v="0"/>
    <x v="1"/>
    <s v="Hon Olson Stacker Chairs"/>
    <n v="1059.1199999999999"/>
    <n v="4"/>
    <n v="307.14479999999998"/>
    <x v="2"/>
    <x v="4"/>
  </r>
  <r>
    <s v="CA-2014-147543"/>
    <x v="734"/>
    <d v="2014-07-12T00:00:00"/>
    <x v="1"/>
    <s v="BC-11125"/>
    <s v="Becky Castell"/>
    <x v="2"/>
    <s v="United States"/>
    <x v="311"/>
    <x v="2"/>
    <x v="1"/>
    <s v="FUR-CH-10000155"/>
    <x v="0"/>
    <x v="1"/>
    <s v="Global Comet Stacking Armless Chair"/>
    <n v="478.48"/>
    <n v="2"/>
    <n v="47.847999999999999"/>
    <x v="6"/>
    <x v="3"/>
  </r>
  <r>
    <s v="CA-2014-101462"/>
    <x v="607"/>
    <d v="2014-04-25T00:00:00"/>
    <x v="1"/>
    <s v="BP-11230"/>
    <s v="Benjamin Patterson"/>
    <x v="0"/>
    <s v="United States"/>
    <x v="2"/>
    <x v="2"/>
    <x v="1"/>
    <s v="FUR-FU-10000409"/>
    <x v="0"/>
    <x v="3"/>
    <s v="GE 4 Foot Flourescent Tube, 40 Watt"/>
    <n v="59.92"/>
    <n v="4"/>
    <n v="27.563199999999998"/>
    <x v="2"/>
    <x v="6"/>
  </r>
  <r>
    <s v="US-2016-100461"/>
    <x v="735"/>
    <d v="2016-01-12T00:00:00"/>
    <x v="1"/>
    <s v="JO-15145"/>
    <s v="Jack O'Briant"/>
    <x v="1"/>
    <s v="United States"/>
    <x v="20"/>
    <x v="16"/>
    <x v="3"/>
    <s v="FUR-BO-10002545"/>
    <x v="0"/>
    <x v="0"/>
    <s v="Atlantic Metals Mobile 3-Shelf Bookcases, Custom Colors"/>
    <n v="1565.88"/>
    <n v="6"/>
    <n v="407.12880000000001"/>
    <x v="4"/>
    <x v="8"/>
  </r>
  <r>
    <s v="CA-2017-128965"/>
    <x v="452"/>
    <d v="2017-04-22T00:00:00"/>
    <x v="1"/>
    <s v="PS-18760"/>
    <s v="Pamela Stobb"/>
    <x v="0"/>
    <s v="United States"/>
    <x v="2"/>
    <x v="2"/>
    <x v="1"/>
    <s v="FUR-CH-10003774"/>
    <x v="0"/>
    <x v="1"/>
    <s v="Global Wood Trimmed Manager's Task Chair, Khaki"/>
    <n v="218.352"/>
    <n v="3"/>
    <n v="-19.105799999999999"/>
    <x v="2"/>
    <x v="6"/>
  </r>
  <r>
    <s v="US-2016-126452"/>
    <x v="650"/>
    <d v="2016-08-28T00:00:00"/>
    <x v="1"/>
    <s v="SC-20230"/>
    <s v="Scot Coram"/>
    <x v="1"/>
    <s v="United States"/>
    <x v="2"/>
    <x v="2"/>
    <x v="1"/>
    <s v="FUR-TA-10003569"/>
    <x v="0"/>
    <x v="2"/>
    <s v="Bretford CR8500 Series Meeting Room Furniture"/>
    <n v="2887.056"/>
    <n v="9"/>
    <n v="180.441"/>
    <x v="1"/>
    <x v="10"/>
  </r>
  <r>
    <s v="US-2016-121013"/>
    <x v="26"/>
    <d v="2016-09-10T00:00:00"/>
    <x v="1"/>
    <s v="MM-17920"/>
    <s v="Michael Moore"/>
    <x v="0"/>
    <s v="United States"/>
    <x v="180"/>
    <x v="25"/>
    <x v="0"/>
    <s v="FUR-TA-10003238"/>
    <x v="0"/>
    <x v="2"/>
    <s v="Chromcraft Bull-Nose Wood 48&quot; x 96&quot; Rectangular Conference Tables"/>
    <n v="1652.94"/>
    <n v="3"/>
    <n v="314.05860000000001"/>
    <x v="2"/>
    <x v="4"/>
  </r>
  <r>
    <s v="US-2015-123918"/>
    <x v="233"/>
    <d v="2015-10-15T00:00:00"/>
    <x v="3"/>
    <s v="CG-12520"/>
    <s v="Claire Gute"/>
    <x v="0"/>
    <s v="United States"/>
    <x v="144"/>
    <x v="5"/>
    <x v="3"/>
    <s v="FUR-FU-10004952"/>
    <x v="0"/>
    <x v="3"/>
    <s v="C-Line Cubicle Keepers Polyproplyene Holder w/Velcro Back, 8-1/2x11, 25/Bx"/>
    <n v="131.376"/>
    <n v="6"/>
    <n v="-95.247600000000006"/>
    <x v="7"/>
    <x v="1"/>
  </r>
  <r>
    <s v="CA-2015-137113"/>
    <x v="239"/>
    <d v="2015-12-05T00:00:00"/>
    <x v="0"/>
    <s v="TW-21025"/>
    <s v="Tamara Willingham"/>
    <x v="2"/>
    <s v="United States"/>
    <x v="15"/>
    <x v="13"/>
    <x v="1"/>
    <s v="FUR-CH-10001215"/>
    <x v="0"/>
    <x v="1"/>
    <s v="Global Troy Executive Leather Low-Back Tilter"/>
    <n v="2003.92"/>
    <n v="5"/>
    <n v="125.245"/>
    <x v="4"/>
    <x v="5"/>
  </r>
  <r>
    <s v="CA-2015-137113"/>
    <x v="239"/>
    <d v="2015-12-05T00:00:00"/>
    <x v="0"/>
    <s v="TW-21025"/>
    <s v="Tamara Willingham"/>
    <x v="2"/>
    <s v="United States"/>
    <x v="15"/>
    <x v="13"/>
    <x v="1"/>
    <s v="FUR-TA-10001705"/>
    <x v="0"/>
    <x v="2"/>
    <s v="Bush Advantage Collection Round Conference Table"/>
    <n v="1913.4"/>
    <n v="9"/>
    <n v="401.81400000000002"/>
    <x v="4"/>
    <x v="5"/>
  </r>
  <r>
    <s v="CA-2015-120677"/>
    <x v="151"/>
    <d v="2015-06-04T00:00:00"/>
    <x v="1"/>
    <s v="BD-11320"/>
    <s v="Bill Donatelli"/>
    <x v="0"/>
    <s v="United States"/>
    <x v="12"/>
    <x v="11"/>
    <x v="3"/>
    <s v="FUR-CH-10002320"/>
    <x v="0"/>
    <x v="1"/>
    <s v="Hon Pagoda Stacking Chairs"/>
    <n v="2567.84"/>
    <n v="8"/>
    <n v="770.35199999999998"/>
    <x v="4"/>
    <x v="7"/>
  </r>
  <r>
    <s v="CA-2017-164756"/>
    <x v="510"/>
    <d v="2017-09-22T00:00:00"/>
    <x v="1"/>
    <s v="SS-20140"/>
    <s v="Saphhira Shifley"/>
    <x v="1"/>
    <s v="United States"/>
    <x v="29"/>
    <x v="24"/>
    <x v="0"/>
    <s v="FUR-FU-10002963"/>
    <x v="0"/>
    <x v="3"/>
    <s v="Master Caster Door Stop, Gray"/>
    <n v="20.32"/>
    <n v="4"/>
    <n v="6.9088000000000003"/>
    <x v="4"/>
    <x v="4"/>
  </r>
  <r>
    <s v="US-2015-165512"/>
    <x v="736"/>
    <d v="2015-05-26T00:00:00"/>
    <x v="0"/>
    <s v="VS-21820"/>
    <s v="Vivek Sundaresam"/>
    <x v="0"/>
    <s v="United States"/>
    <x v="312"/>
    <x v="8"/>
    <x v="3"/>
    <s v="FUR-CH-10002880"/>
    <x v="0"/>
    <x v="1"/>
    <s v="Global High-Back Leather Tilter, Burgundy"/>
    <n v="602.65099999999995"/>
    <n v="7"/>
    <n v="-163.57669999999999"/>
    <x v="3"/>
    <x v="7"/>
  </r>
  <r>
    <s v="US-2017-135503"/>
    <x v="247"/>
    <d v="2017-12-15T00:00:00"/>
    <x v="1"/>
    <s v="JE-16165"/>
    <s v="Justin Ellison"/>
    <x v="1"/>
    <s v="United States"/>
    <x v="313"/>
    <x v="10"/>
    <x v="0"/>
    <s v="FUR-FU-10002364"/>
    <x v="0"/>
    <x v="3"/>
    <s v="Eldon Expressions Wood Desk Accessories, Oak"/>
    <n v="14.76"/>
    <n v="2"/>
    <n v="4.2804000000000002"/>
    <x v="2"/>
    <x v="5"/>
  </r>
  <r>
    <s v="US-2017-115301"/>
    <x v="605"/>
    <d v="2017-08-02T00:00:00"/>
    <x v="1"/>
    <s v="VG-21790"/>
    <s v="Vivek Gonzalez"/>
    <x v="0"/>
    <s v="United States"/>
    <x v="15"/>
    <x v="13"/>
    <x v="1"/>
    <s v="FUR-BO-10004709"/>
    <x v="0"/>
    <x v="0"/>
    <s v="Bush Westfield Collection Bookcases, Medium Cherry Finish"/>
    <n v="115.96"/>
    <n v="2"/>
    <n v="25.511199999999999"/>
    <x v="4"/>
    <x v="3"/>
  </r>
  <r>
    <s v="CA-2014-124247"/>
    <x v="439"/>
    <d v="2014-12-21T00:00:00"/>
    <x v="1"/>
    <s v="SH-20635"/>
    <s v="Stefanie Holloman"/>
    <x v="1"/>
    <s v="United States"/>
    <x v="155"/>
    <x v="2"/>
    <x v="1"/>
    <s v="FUR-CH-10001854"/>
    <x v="0"/>
    <x v="1"/>
    <s v="Office Star - Professional Matrix Back Chair with 2-to-1 Synchro Tilt and Mesh Fabric Seat"/>
    <n v="1403.92"/>
    <n v="5"/>
    <n v="70.195999999999998"/>
    <x v="2"/>
    <x v="5"/>
  </r>
  <r>
    <s v="CA-2015-137925"/>
    <x v="737"/>
    <d v="2015-12-04T00:00:00"/>
    <x v="1"/>
    <s v="JL-15235"/>
    <s v="Janet Lee"/>
    <x v="0"/>
    <s v="United States"/>
    <x v="13"/>
    <x v="7"/>
    <x v="2"/>
    <s v="FUR-BO-10001608"/>
    <x v="0"/>
    <x v="0"/>
    <s v="Hon Metal Bookcases, Black"/>
    <n v="681.40800000000002"/>
    <n v="12"/>
    <n v="42.588000000000001"/>
    <x v="4"/>
    <x v="0"/>
  </r>
  <r>
    <s v="CA-2014-164182"/>
    <x v="738"/>
    <d v="2014-07-18T00:00:00"/>
    <x v="1"/>
    <s v="ST-20530"/>
    <s v="Shui Tom"/>
    <x v="0"/>
    <s v="United States"/>
    <x v="3"/>
    <x v="3"/>
    <x v="2"/>
    <s v="FUR-FU-10001057"/>
    <x v="0"/>
    <x v="3"/>
    <s v="Tensor Track Tree Floor Lamp"/>
    <n v="31.984000000000002"/>
    <n v="2"/>
    <n v="1.1994"/>
    <x v="4"/>
    <x v="3"/>
  </r>
  <r>
    <s v="CA-2016-129847"/>
    <x v="227"/>
    <d v="2016-09-04T00:00:00"/>
    <x v="2"/>
    <s v="TA-21385"/>
    <s v="Tom Ashbrook"/>
    <x v="2"/>
    <s v="United States"/>
    <x v="9"/>
    <x v="8"/>
    <x v="3"/>
    <s v="FUR-FU-10000277"/>
    <x v="0"/>
    <x v="3"/>
    <s v="Deflect-o DuraMat Antistatic Studded Beveled Mat for Medium Pile Carpeting"/>
    <n v="84.272000000000006"/>
    <n v="2"/>
    <n v="-75.844800000000006"/>
    <x v="3"/>
    <x v="4"/>
  </r>
  <r>
    <s v="CA-2016-106243"/>
    <x v="739"/>
    <d v="2016-10-04T00:00:00"/>
    <x v="1"/>
    <s v="GM-14680"/>
    <s v="Greg Matthias"/>
    <x v="0"/>
    <s v="United States"/>
    <x v="13"/>
    <x v="7"/>
    <x v="2"/>
    <s v="FUR-BO-10003034"/>
    <x v="0"/>
    <x v="0"/>
    <s v="O'Sullivan Elevations Bookcase, Cherry Finish"/>
    <n v="523.91999999999996"/>
    <n v="5"/>
    <n v="-26.196000000000002"/>
    <x v="4"/>
    <x v="4"/>
  </r>
  <r>
    <s v="CA-2015-130365"/>
    <x v="740"/>
    <d v="2015-04-29T00:00:00"/>
    <x v="1"/>
    <s v="ZC-21910"/>
    <s v="Zuschuss Carroll"/>
    <x v="0"/>
    <s v="United States"/>
    <x v="14"/>
    <x v="8"/>
    <x v="3"/>
    <s v="FUR-CH-10003535"/>
    <x v="0"/>
    <x v="1"/>
    <s v="Global Armless Task Chair, Royal Blue"/>
    <n v="128.05799999999999"/>
    <n v="3"/>
    <n v="-23.7822"/>
    <x v="4"/>
    <x v="6"/>
  </r>
  <r>
    <s v="CA-2017-143021"/>
    <x v="49"/>
    <d v="2017-11-19T00:00:00"/>
    <x v="3"/>
    <s v="AP-10720"/>
    <s v="Anne Pryor"/>
    <x v="2"/>
    <s v="United States"/>
    <x v="13"/>
    <x v="7"/>
    <x v="2"/>
    <s v="FUR-TA-10001676"/>
    <x v="0"/>
    <x v="2"/>
    <s v="Hon 61000 Series Interactive Training Tables"/>
    <n v="79.974000000000004"/>
    <n v="3"/>
    <n v="-29.323799999999999"/>
    <x v="7"/>
    <x v="0"/>
  </r>
  <r>
    <s v="CA-2016-157588"/>
    <x v="197"/>
    <d v="2016-07-19T00:00:00"/>
    <x v="1"/>
    <s v="AR-10570"/>
    <s v="Anemone Ratner"/>
    <x v="0"/>
    <s v="United States"/>
    <x v="29"/>
    <x v="24"/>
    <x v="0"/>
    <s v="FUR-FU-10004848"/>
    <x v="0"/>
    <x v="3"/>
    <s v="Howard Miller 13-3/4&quot; Diameter Brushed Chrome Round Wall Clock"/>
    <n v="51.75"/>
    <n v="1"/>
    <n v="15.525"/>
    <x v="2"/>
    <x v="3"/>
  </r>
  <r>
    <s v="CA-2016-163937"/>
    <x v="579"/>
    <d v="2016-01-13T00:00:00"/>
    <x v="0"/>
    <s v="JB-16000"/>
    <s v="Joy Bell-"/>
    <x v="0"/>
    <s v="United States"/>
    <x v="314"/>
    <x v="13"/>
    <x v="1"/>
    <s v="FUR-FU-10000010"/>
    <x v="0"/>
    <x v="3"/>
    <s v="DAX Value U-Channel Document Frames, Easel Back"/>
    <n v="24.85"/>
    <n v="5"/>
    <n v="7.7035"/>
    <x v="0"/>
    <x v="8"/>
  </r>
  <r>
    <s v="CA-2015-112144"/>
    <x v="741"/>
    <d v="2015-07-02T00:00:00"/>
    <x v="1"/>
    <s v="CY-12745"/>
    <s v="Craig Yedwab"/>
    <x v="1"/>
    <s v="United States"/>
    <x v="171"/>
    <x v="22"/>
    <x v="1"/>
    <s v="FUR-FU-10004306"/>
    <x v="0"/>
    <x v="3"/>
    <s v="Electrix Halogen Magnifier Lamp"/>
    <n v="621.76"/>
    <n v="4"/>
    <n v="46.631999999999998"/>
    <x v="4"/>
    <x v="2"/>
  </r>
  <r>
    <s v="CA-2015-109386"/>
    <x v="428"/>
    <d v="2015-11-13T00:00:00"/>
    <x v="0"/>
    <s v="RH-19600"/>
    <s v="Rob Haberlin"/>
    <x v="0"/>
    <s v="United States"/>
    <x v="247"/>
    <x v="25"/>
    <x v="0"/>
    <s v="FUR-FU-10000308"/>
    <x v="0"/>
    <x v="3"/>
    <s v="Deflect-o Glass Clear Studded Chair Mats"/>
    <n v="186.54"/>
    <n v="3"/>
    <n v="41.038800000000002"/>
    <x v="2"/>
    <x v="0"/>
  </r>
  <r>
    <s v="CA-2015-104871"/>
    <x v="742"/>
    <d v="2015-04-03T00:00:00"/>
    <x v="1"/>
    <s v="DR-12940"/>
    <s v="Daniel Raglin"/>
    <x v="2"/>
    <s v="United States"/>
    <x v="315"/>
    <x v="8"/>
    <x v="3"/>
    <s v="FUR-CH-10003298"/>
    <x v="0"/>
    <x v="1"/>
    <s v="Office Star - Contemporary Task Swivel chair with Loop Arms, Charcoal"/>
    <n v="366.74400000000003"/>
    <n v="4"/>
    <n v="-110.0232"/>
    <x v="4"/>
    <x v="9"/>
  </r>
  <r>
    <s v="CA-2014-133158"/>
    <x v="532"/>
    <d v="2014-08-21T00:00:00"/>
    <x v="0"/>
    <s v="DW-13195"/>
    <s v="David Wiener"/>
    <x v="1"/>
    <s v="United States"/>
    <x v="2"/>
    <x v="2"/>
    <x v="1"/>
    <s v="FUR-FU-10000723"/>
    <x v="0"/>
    <x v="3"/>
    <s v="Deflect-o EconoMat Studded, No Bevel Mat for Low Pile Carpeting"/>
    <n v="289.24"/>
    <n v="7"/>
    <n v="26.031600000000001"/>
    <x v="3"/>
    <x v="10"/>
  </r>
  <r>
    <s v="CA-2015-141740"/>
    <x v="341"/>
    <d v="2015-11-05T00:00:00"/>
    <x v="1"/>
    <s v="JF-15490"/>
    <s v="Jeremy Farry"/>
    <x v="0"/>
    <s v="United States"/>
    <x v="13"/>
    <x v="7"/>
    <x v="2"/>
    <s v="FUR-CH-10001545"/>
    <x v="0"/>
    <x v="1"/>
    <s v="Hon Comfortask Task/Swivel Chairs"/>
    <n v="205.16399999999999"/>
    <n v="2"/>
    <n v="13.6776"/>
    <x v="4"/>
    <x v="0"/>
  </r>
  <r>
    <s v="CA-2014-119466"/>
    <x v="256"/>
    <d v="2014-12-21T00:00:00"/>
    <x v="1"/>
    <s v="SP-20860"/>
    <s v="Sung Pak"/>
    <x v="1"/>
    <s v="United States"/>
    <x v="9"/>
    <x v="8"/>
    <x v="3"/>
    <s v="FUR-FU-10001546"/>
    <x v="0"/>
    <x v="3"/>
    <s v="Dana Swing-Arm Lamps"/>
    <n v="8.5440000000000005"/>
    <n v="2"/>
    <n v="-7.476"/>
    <x v="6"/>
    <x v="5"/>
  </r>
  <r>
    <s v="CA-2015-154823"/>
    <x v="130"/>
    <d v="2015-08-25T00:00:00"/>
    <x v="1"/>
    <s v="KN-16390"/>
    <s v="Katherine Nockton"/>
    <x v="1"/>
    <s v="United States"/>
    <x v="76"/>
    <x v="15"/>
    <x v="2"/>
    <s v="FUR-CH-10003379"/>
    <x v="0"/>
    <x v="1"/>
    <s v="Global Commerce Series High-Back Swivel/Tilt Chairs"/>
    <n v="598.45799999999997"/>
    <n v="3"/>
    <n v="-42.747"/>
    <x v="4"/>
    <x v="10"/>
  </r>
  <r>
    <s v="CA-2015-154823"/>
    <x v="130"/>
    <d v="2015-08-25T00:00:00"/>
    <x v="1"/>
    <s v="KN-16390"/>
    <s v="Katherine Nockton"/>
    <x v="1"/>
    <s v="United States"/>
    <x v="76"/>
    <x v="15"/>
    <x v="2"/>
    <s v="FUR-FU-10000193"/>
    <x v="0"/>
    <x v="3"/>
    <s v="Tenex Chairmats For Use with Hard Floors"/>
    <n v="25.984000000000002"/>
    <n v="1"/>
    <n v="-3.8976000000000002"/>
    <x v="4"/>
    <x v="10"/>
  </r>
  <r>
    <s v="CA-2017-141201"/>
    <x v="13"/>
    <d v="2017-12-11T00:00:00"/>
    <x v="0"/>
    <s v="DB-12910"/>
    <s v="Daniel Byrd"/>
    <x v="2"/>
    <s v="United States"/>
    <x v="316"/>
    <x v="2"/>
    <x v="1"/>
    <s v="FUR-BO-10001519"/>
    <x v="0"/>
    <x v="0"/>
    <s v="O'Sullivan 3-Shelf Heavy-Duty Bookcases"/>
    <n v="148.25700000000001"/>
    <n v="3"/>
    <n v="15.697800000000001"/>
    <x v="3"/>
    <x v="5"/>
  </r>
  <r>
    <s v="CA-2014-124737"/>
    <x v="743"/>
    <d v="2014-08-27T00:00:00"/>
    <x v="1"/>
    <s v="AP-10915"/>
    <s v="Arthur Prichep"/>
    <x v="0"/>
    <s v="United States"/>
    <x v="22"/>
    <x v="12"/>
    <x v="1"/>
    <s v="FUR-FU-10003274"/>
    <x v="0"/>
    <x v="3"/>
    <s v="Regeneration Desk Collection"/>
    <n v="4.2240000000000002"/>
    <n v="3"/>
    <n v="1.2672000000000001"/>
    <x v="4"/>
    <x v="10"/>
  </r>
  <r>
    <s v="CA-2016-145548"/>
    <x v="367"/>
    <d v="2016-11-16T00:00:00"/>
    <x v="1"/>
    <s v="EB-13750"/>
    <s v="Edward Becker"/>
    <x v="1"/>
    <s v="United States"/>
    <x v="13"/>
    <x v="7"/>
    <x v="2"/>
    <s v="FUR-CH-10003774"/>
    <x v="0"/>
    <x v="1"/>
    <s v="Global Wood Trimmed Manager's Task Chair, Khaki"/>
    <n v="245.64599999999999"/>
    <n v="3"/>
    <n v="8.1882000000000001"/>
    <x v="2"/>
    <x v="0"/>
  </r>
  <r>
    <s v="CA-2017-119494"/>
    <x v="17"/>
    <d v="2017-11-13T00:00:00"/>
    <x v="1"/>
    <s v="JE-15610"/>
    <s v="Jim Epp"/>
    <x v="1"/>
    <s v="United States"/>
    <x v="53"/>
    <x v="2"/>
    <x v="1"/>
    <s v="FUR-CH-10004675"/>
    <x v="0"/>
    <x v="1"/>
    <s v="Lifetime Advantage Folding Chairs, 4/Carton"/>
    <n v="523.39200000000005"/>
    <n v="3"/>
    <n v="52.339199999999998"/>
    <x v="4"/>
    <x v="0"/>
  </r>
  <r>
    <s v="CA-2017-103443"/>
    <x v="430"/>
    <d v="2017-12-23T00:00:00"/>
    <x v="1"/>
    <s v="AT-10735"/>
    <s v="Annie Thurman"/>
    <x v="0"/>
    <s v="United States"/>
    <x v="13"/>
    <x v="7"/>
    <x v="2"/>
    <s v="FUR-FU-10000308"/>
    <x v="0"/>
    <x v="3"/>
    <s v="Deflect-o Glass Clear Studded Chair Mats"/>
    <n v="124.36"/>
    <n v="2"/>
    <n v="27.359200000000001"/>
    <x v="6"/>
    <x v="5"/>
  </r>
  <r>
    <s v="US-2017-165358"/>
    <x v="511"/>
    <d v="2017-07-23T00:00:00"/>
    <x v="1"/>
    <s v="SV-20365"/>
    <s v="Seth Vernon"/>
    <x v="0"/>
    <s v="United States"/>
    <x v="3"/>
    <x v="3"/>
    <x v="2"/>
    <s v="FUR-CH-10002647"/>
    <x v="0"/>
    <x v="1"/>
    <s v="Situations Contoured Folding Chairs, 4/Set"/>
    <n v="198.744"/>
    <n v="4"/>
    <n v="-14.196"/>
    <x v="2"/>
    <x v="3"/>
  </r>
  <r>
    <s v="CA-2014-150581"/>
    <x v="676"/>
    <d v="2014-04-12T00:00:00"/>
    <x v="1"/>
    <s v="NM-18445"/>
    <s v="Nathan Mautz"/>
    <x v="2"/>
    <s v="United States"/>
    <x v="41"/>
    <x v="2"/>
    <x v="1"/>
    <s v="FUR-TA-10003748"/>
    <x v="0"/>
    <x v="2"/>
    <s v="Bevis 36 x 72 Conference Tables"/>
    <n v="99.591999999999999"/>
    <n v="1"/>
    <n v="2.4897999999999998"/>
    <x v="4"/>
    <x v="6"/>
  </r>
  <r>
    <s v="CA-2016-165330"/>
    <x v="106"/>
    <d v="2016-12-11T00:00:00"/>
    <x v="3"/>
    <s v="WB-21850"/>
    <s v="William Brown"/>
    <x v="0"/>
    <s v="United States"/>
    <x v="261"/>
    <x v="2"/>
    <x v="1"/>
    <s v="FUR-CH-10003774"/>
    <x v="0"/>
    <x v="1"/>
    <s v="Global Wood Trimmed Manager's Task Chair, Khaki"/>
    <n v="363.92"/>
    <n v="5"/>
    <n v="-31.843"/>
    <x v="7"/>
    <x v="5"/>
  </r>
  <r>
    <s v="CA-2016-165330"/>
    <x v="106"/>
    <d v="2016-12-11T00:00:00"/>
    <x v="3"/>
    <s v="WB-21850"/>
    <s v="William Brown"/>
    <x v="0"/>
    <s v="United States"/>
    <x v="261"/>
    <x v="2"/>
    <x v="1"/>
    <s v="FUR-TA-10004619"/>
    <x v="0"/>
    <x v="2"/>
    <s v="Hon Non-Folding Utility Tables"/>
    <n v="892.13599999999997"/>
    <n v="7"/>
    <n v="111.517"/>
    <x v="7"/>
    <x v="5"/>
  </r>
  <r>
    <s v="CA-2016-106950"/>
    <x v="227"/>
    <d v="2016-09-06T00:00:00"/>
    <x v="1"/>
    <s v="JE-15715"/>
    <s v="Joe Elijah"/>
    <x v="0"/>
    <s v="United States"/>
    <x v="127"/>
    <x v="30"/>
    <x v="0"/>
    <s v="FUR-TA-10001768"/>
    <x v="0"/>
    <x v="2"/>
    <s v="Hon Racetrack Conference Tables"/>
    <n v="472.51799999999997"/>
    <n v="3"/>
    <n v="-149.63069999999999"/>
    <x v="4"/>
    <x v="4"/>
  </r>
  <r>
    <s v="CA-2017-128944"/>
    <x v="744"/>
    <d v="2017-06-21T00:00:00"/>
    <x v="0"/>
    <s v="KH-16330"/>
    <s v="Katharine Harms"/>
    <x v="1"/>
    <s v="United States"/>
    <x v="19"/>
    <x v="15"/>
    <x v="2"/>
    <s v="FUR-CH-10000785"/>
    <x v="0"/>
    <x v="1"/>
    <s v="Global Ergonomic Managers Chair"/>
    <n v="760.11599999999999"/>
    <n v="6"/>
    <n v="-43.435200000000002"/>
    <x v="3"/>
    <x v="2"/>
  </r>
  <r>
    <s v="CA-2017-128944"/>
    <x v="744"/>
    <d v="2017-06-21T00:00:00"/>
    <x v="0"/>
    <s v="KH-16330"/>
    <s v="Katharine Harms"/>
    <x v="1"/>
    <s v="United States"/>
    <x v="19"/>
    <x v="15"/>
    <x v="2"/>
    <s v="FUR-FU-10004909"/>
    <x v="0"/>
    <x v="3"/>
    <s v="Contemporary Wood/Metal Frame"/>
    <n v="38.783999999999999"/>
    <n v="3"/>
    <n v="7.2720000000000002"/>
    <x v="3"/>
    <x v="2"/>
  </r>
  <r>
    <s v="US-2016-102239"/>
    <x v="399"/>
    <d v="2016-05-06T00:00:00"/>
    <x v="2"/>
    <s v="LW-16990"/>
    <s v="Lindsay Williams"/>
    <x v="1"/>
    <s v="United States"/>
    <x v="0"/>
    <x v="34"/>
    <x v="1"/>
    <s v="FUR-TA-10003392"/>
    <x v="0"/>
    <x v="2"/>
    <s v="Global Adaptabilities Conference Tables"/>
    <n v="1685.88"/>
    <n v="6"/>
    <n v="320.31720000000001"/>
    <x v="5"/>
    <x v="7"/>
  </r>
  <r>
    <s v="CA-2017-166926"/>
    <x v="451"/>
    <d v="2017-12-08T00:00:00"/>
    <x v="1"/>
    <s v="SO-20335"/>
    <s v="Sean O'Donnell"/>
    <x v="0"/>
    <s v="United States"/>
    <x v="15"/>
    <x v="13"/>
    <x v="1"/>
    <s v="FUR-BO-10002598"/>
    <x v="0"/>
    <x v="0"/>
    <s v="Hon Metal Bookcases, Putty"/>
    <n v="141.96"/>
    <n v="2"/>
    <n v="41.168399999999998"/>
    <x v="1"/>
    <x v="5"/>
  </r>
  <r>
    <s v="CA-2015-128013"/>
    <x v="38"/>
    <d v="2015-08-16T00:00:00"/>
    <x v="1"/>
    <s v="MF-18250"/>
    <s v="Monica Federle"/>
    <x v="1"/>
    <s v="United States"/>
    <x v="13"/>
    <x v="7"/>
    <x v="2"/>
    <s v="FUR-FU-10000320"/>
    <x v="0"/>
    <x v="3"/>
    <s v="OIC Stacking Trays"/>
    <n v="10.02"/>
    <n v="3"/>
    <n v="4.4088000000000003"/>
    <x v="1"/>
    <x v="10"/>
  </r>
  <r>
    <s v="US-2016-117541"/>
    <x v="566"/>
    <d v="2016-11-20T00:00:00"/>
    <x v="1"/>
    <s v="JM-16195"/>
    <s v="Justin MacKendrick"/>
    <x v="0"/>
    <s v="United States"/>
    <x v="19"/>
    <x v="14"/>
    <x v="2"/>
    <s v="FUR-FU-10000550"/>
    <x v="0"/>
    <x v="3"/>
    <s v="Stacking Trays by OIC"/>
    <n v="19.920000000000002"/>
    <n v="4"/>
    <n v="6.5735999999999999"/>
    <x v="6"/>
    <x v="0"/>
  </r>
  <r>
    <s v="CA-2017-141439"/>
    <x v="83"/>
    <d v="2017-12-01T00:00:00"/>
    <x v="1"/>
    <s v="TT-21460"/>
    <s v="Tonja Turnell"/>
    <x v="2"/>
    <s v="United States"/>
    <x v="52"/>
    <x v="6"/>
    <x v="3"/>
    <s v="FUR-TA-10001039"/>
    <x v="0"/>
    <x v="2"/>
    <s v="KI Adjustable-Height Table"/>
    <n v="257.94"/>
    <n v="3"/>
    <n v="67.064400000000006"/>
    <x v="2"/>
    <x v="0"/>
  </r>
  <r>
    <s v="CA-2017-141439"/>
    <x v="83"/>
    <d v="2017-12-01T00:00:00"/>
    <x v="1"/>
    <s v="TT-21460"/>
    <s v="Tonja Turnell"/>
    <x v="2"/>
    <s v="United States"/>
    <x v="52"/>
    <x v="6"/>
    <x v="3"/>
    <s v="FUR-FU-10001473"/>
    <x v="0"/>
    <x v="3"/>
    <s v="DAX Wood Document Frame"/>
    <n v="27.46"/>
    <n v="2"/>
    <n v="9.8856000000000002"/>
    <x v="2"/>
    <x v="0"/>
  </r>
  <r>
    <s v="CA-2017-141439"/>
    <x v="83"/>
    <d v="2017-12-01T00:00:00"/>
    <x v="1"/>
    <s v="TT-21460"/>
    <s v="Tonja Turnell"/>
    <x v="2"/>
    <s v="United States"/>
    <x v="52"/>
    <x v="6"/>
    <x v="3"/>
    <s v="FUR-CH-10004287"/>
    <x v="0"/>
    <x v="1"/>
    <s v="SAFCO Arco Folding Chair"/>
    <n v="828.6"/>
    <n v="3"/>
    <n v="240.29400000000001"/>
    <x v="2"/>
    <x v="0"/>
  </r>
  <r>
    <s v="CA-2015-163965"/>
    <x v="141"/>
    <d v="2015-11-27T00:00:00"/>
    <x v="1"/>
    <s v="SS-20875"/>
    <s v="Sung Shariari"/>
    <x v="0"/>
    <s v="United States"/>
    <x v="89"/>
    <x v="1"/>
    <x v="0"/>
    <s v="FUR-BO-10001337"/>
    <x v="0"/>
    <x v="0"/>
    <s v="O'Sullivan Living Dimensions 2-Shelf Bookcases"/>
    <n v="290.35199999999998"/>
    <n v="3"/>
    <n v="-36.293999999999997"/>
    <x v="1"/>
    <x v="0"/>
  </r>
  <r>
    <s v="CA-2017-128783"/>
    <x v="87"/>
    <d v="2017-09-07T00:00:00"/>
    <x v="3"/>
    <s v="TG-21640"/>
    <s v="Trudy Glocke"/>
    <x v="0"/>
    <s v="United States"/>
    <x v="317"/>
    <x v="23"/>
    <x v="3"/>
    <s v="FUR-FU-10003623"/>
    <x v="0"/>
    <x v="3"/>
    <s v="DataProducts Ampli Magnifier Task Lamp, Black,"/>
    <n v="135.30000000000001"/>
    <n v="5"/>
    <n v="37.884"/>
    <x v="7"/>
    <x v="4"/>
  </r>
  <r>
    <s v="CA-2014-122217"/>
    <x v="168"/>
    <d v="2014-11-29T00:00:00"/>
    <x v="1"/>
    <s v="HP-14815"/>
    <s v="Harold Pawlan"/>
    <x v="2"/>
    <s v="United States"/>
    <x v="304"/>
    <x v="25"/>
    <x v="0"/>
    <s v="FUR-FU-10002045"/>
    <x v="0"/>
    <x v="3"/>
    <s v="Executive Impressions 14&quot;"/>
    <n v="111.15"/>
    <n v="5"/>
    <n v="48.905999999999999"/>
    <x v="2"/>
    <x v="0"/>
  </r>
  <r>
    <s v="US-2017-141558"/>
    <x v="745"/>
    <d v="2017-03-16T00:00:00"/>
    <x v="1"/>
    <s v="MH-17290"/>
    <s v="Marc Harrigan"/>
    <x v="2"/>
    <s v="United States"/>
    <x v="3"/>
    <x v="3"/>
    <x v="2"/>
    <s v="FUR-TA-10004086"/>
    <x v="0"/>
    <x v="2"/>
    <s v="KI Adjustable-Height Table"/>
    <n v="154.76400000000001"/>
    <n v="3"/>
    <n v="-46.429200000000002"/>
    <x v="2"/>
    <x v="9"/>
  </r>
  <r>
    <s v="CA-2017-100412"/>
    <x v="313"/>
    <d v="2017-12-26T00:00:00"/>
    <x v="1"/>
    <s v="SR-20425"/>
    <s v="Sharelle Roach"/>
    <x v="2"/>
    <s v="United States"/>
    <x v="318"/>
    <x v="33"/>
    <x v="0"/>
    <s v="FUR-CH-10002647"/>
    <x v="0"/>
    <x v="1"/>
    <s v="Situations Contoured Folding Chairs, 4/Set"/>
    <n v="141.96"/>
    <n v="2"/>
    <n v="35.49"/>
    <x v="4"/>
    <x v="5"/>
  </r>
  <r>
    <s v="CA-2017-142909"/>
    <x v="313"/>
    <d v="2017-12-25T00:00:00"/>
    <x v="0"/>
    <s v="AG-10330"/>
    <s v="Alex Grayson"/>
    <x v="0"/>
    <s v="United States"/>
    <x v="81"/>
    <x v="22"/>
    <x v="1"/>
    <s v="FUR-TA-10003008"/>
    <x v="0"/>
    <x v="2"/>
    <s v="Lesro Round Back Collection Coffee Table, End Table"/>
    <n v="182.55"/>
    <n v="2"/>
    <n v="-135.08699999999999"/>
    <x v="0"/>
    <x v="5"/>
  </r>
  <r>
    <s v="US-2015-136749"/>
    <x v="344"/>
    <d v="2015-12-27T00:00:00"/>
    <x v="0"/>
    <s v="LH-16900"/>
    <s v="Lena Hernandez"/>
    <x v="0"/>
    <s v="United States"/>
    <x v="29"/>
    <x v="24"/>
    <x v="0"/>
    <s v="FUR-FU-10000747"/>
    <x v="0"/>
    <x v="3"/>
    <s v="Tenex B1-RE Series Chair Mats for Low Pile Carpets"/>
    <n v="275.88"/>
    <n v="6"/>
    <n v="46.8996"/>
    <x v="3"/>
    <x v="5"/>
  </r>
  <r>
    <s v="CA-2014-117464"/>
    <x v="746"/>
    <d v="2014-07-24T00:00:00"/>
    <x v="0"/>
    <s v="NP-18325"/>
    <s v="Naresj Patel"/>
    <x v="0"/>
    <s v="United States"/>
    <x v="28"/>
    <x v="2"/>
    <x v="1"/>
    <s v="FUR-CH-10000155"/>
    <x v="0"/>
    <x v="1"/>
    <s v="Global Comet Stacking Armless Chair"/>
    <n v="717.72"/>
    <n v="3"/>
    <n v="71.772000000000006"/>
    <x v="3"/>
    <x v="3"/>
  </r>
  <r>
    <s v="CA-2014-117464"/>
    <x v="746"/>
    <d v="2014-07-24T00:00:00"/>
    <x v="0"/>
    <s v="NP-18325"/>
    <s v="Naresj Patel"/>
    <x v="0"/>
    <s v="United States"/>
    <x v="28"/>
    <x v="2"/>
    <x v="1"/>
    <s v="FUR-TA-10004767"/>
    <x v="0"/>
    <x v="2"/>
    <s v="Safco Drafting Table"/>
    <n v="170.352"/>
    <n v="3"/>
    <n v="19.1646"/>
    <x v="3"/>
    <x v="3"/>
  </r>
  <r>
    <s v="US-2017-168613"/>
    <x v="747"/>
    <d v="2017-10-14T00:00:00"/>
    <x v="1"/>
    <s v="GM-14440"/>
    <s v="Gary McGarr"/>
    <x v="0"/>
    <s v="United States"/>
    <x v="13"/>
    <x v="7"/>
    <x v="2"/>
    <s v="FUR-CH-10002372"/>
    <x v="0"/>
    <x v="1"/>
    <s v="Office Star - Ergonomically Designed Knee Chair"/>
    <n v="145.76400000000001"/>
    <n v="2"/>
    <n v="3.2391999999999999"/>
    <x v="6"/>
    <x v="1"/>
  </r>
  <r>
    <s v="CA-2017-128853"/>
    <x v="488"/>
    <d v="2017-04-23T00:00:00"/>
    <x v="2"/>
    <s v="JM-15250"/>
    <s v="Janet Martin"/>
    <x v="0"/>
    <s v="United States"/>
    <x v="237"/>
    <x v="32"/>
    <x v="2"/>
    <s v="FUR-CH-10004218"/>
    <x v="0"/>
    <x v="1"/>
    <s v="Global Fabric Manager's Chair, Dark Gray"/>
    <n v="908.82"/>
    <n v="9"/>
    <n v="227.20500000000001"/>
    <x v="3"/>
    <x v="6"/>
  </r>
  <r>
    <s v="CA-2017-133102"/>
    <x v="301"/>
    <d v="2017-08-24T00:00:00"/>
    <x v="1"/>
    <s v="ED-13885"/>
    <s v="Emily Ducich"/>
    <x v="2"/>
    <s v="United States"/>
    <x v="6"/>
    <x v="5"/>
    <x v="3"/>
    <s v="FUR-CH-10002017"/>
    <x v="0"/>
    <x v="1"/>
    <s v="SAFCO Optional Arm Kit for Workspace Cribbage Stacking Chair"/>
    <n v="74.591999999999999"/>
    <n v="4"/>
    <n v="-2.1312000000000002"/>
    <x v="1"/>
    <x v="10"/>
  </r>
  <r>
    <s v="CA-2017-133102"/>
    <x v="301"/>
    <d v="2017-08-24T00:00:00"/>
    <x v="1"/>
    <s v="ED-13885"/>
    <s v="Emily Ducich"/>
    <x v="2"/>
    <s v="United States"/>
    <x v="6"/>
    <x v="5"/>
    <x v="3"/>
    <s v="FUR-FU-10003247"/>
    <x v="0"/>
    <x v="3"/>
    <s v="36X48 HARDFLOOR CHAIRMAT"/>
    <n v="16.783999999999999"/>
    <n v="2"/>
    <n v="-22.238800000000001"/>
    <x v="1"/>
    <x v="10"/>
  </r>
  <r>
    <s v="CA-2016-164399"/>
    <x v="689"/>
    <d v="2016-11-15T00:00:00"/>
    <x v="2"/>
    <s v="DW-13480"/>
    <s v="Dianna Wilson"/>
    <x v="2"/>
    <s v="United States"/>
    <x v="53"/>
    <x v="2"/>
    <x v="1"/>
    <s v="FUR-TA-10003392"/>
    <x v="0"/>
    <x v="2"/>
    <s v="Global Adaptabilities Conference Tables"/>
    <n v="674.35199999999998"/>
    <n v="3"/>
    <n v="-8.4293999999999993"/>
    <x v="0"/>
    <x v="0"/>
  </r>
  <r>
    <s v="CA-2016-147683"/>
    <x v="282"/>
    <d v="2016-11-17T00:00:00"/>
    <x v="1"/>
    <s v="PO-19180"/>
    <s v="Philisse Overcash"/>
    <x v="2"/>
    <s v="United States"/>
    <x v="15"/>
    <x v="13"/>
    <x v="1"/>
    <s v="FUR-FU-10004848"/>
    <x v="0"/>
    <x v="3"/>
    <s v="DAX Solid Wood Frames"/>
    <n v="19.54"/>
    <n v="2"/>
    <n v="7.2298"/>
    <x v="4"/>
    <x v="0"/>
  </r>
  <r>
    <s v="CA-2016-104276"/>
    <x v="673"/>
    <d v="2016-12-03T00:00:00"/>
    <x v="1"/>
    <s v="HF-14995"/>
    <s v="Herbert Flentye"/>
    <x v="0"/>
    <s v="United States"/>
    <x v="1"/>
    <x v="1"/>
    <x v="0"/>
    <s v="FUR-TA-10001039"/>
    <x v="0"/>
    <x v="2"/>
    <s v="KI Adjustable-Height Table"/>
    <n v="331.02300000000002"/>
    <n v="7"/>
    <n v="-114.35339999999999"/>
    <x v="6"/>
    <x v="0"/>
  </r>
  <r>
    <s v="CA-2016-120369"/>
    <x v="48"/>
    <d v="2016-10-28T00:00:00"/>
    <x v="3"/>
    <s v="VB-21745"/>
    <s v="Victoria Brennan"/>
    <x v="1"/>
    <s v="United States"/>
    <x v="77"/>
    <x v="7"/>
    <x v="2"/>
    <s v="FUR-FU-10003806"/>
    <x v="0"/>
    <x v="3"/>
    <s v="Tenex Chairmat w/ Average Lip, 45&quot; x 53&quot;"/>
    <n v="756.8"/>
    <n v="5"/>
    <n v="75.680000000000007"/>
    <x v="7"/>
    <x v="1"/>
  </r>
  <r>
    <s v="CA-2014-118276"/>
    <x v="527"/>
    <d v="2015-01-02T00:00:00"/>
    <x v="1"/>
    <s v="MG-17890"/>
    <s v="Michael Granlund"/>
    <x v="2"/>
    <s v="United States"/>
    <x v="317"/>
    <x v="8"/>
    <x v="3"/>
    <s v="FUR-FU-10002111"/>
    <x v="0"/>
    <x v="3"/>
    <s v="Master Caster Door Stop, Large Brown"/>
    <n v="8.7360000000000007"/>
    <n v="3"/>
    <n v="-4.8048000000000002"/>
    <x v="4"/>
    <x v="5"/>
  </r>
  <r>
    <s v="CA-2017-137414"/>
    <x v="125"/>
    <d v="2017-10-06T00:00:00"/>
    <x v="1"/>
    <s v="CM-12115"/>
    <s v="Chad McGuire"/>
    <x v="0"/>
    <s v="United States"/>
    <x v="28"/>
    <x v="2"/>
    <x v="1"/>
    <s v="FUR-FU-10001424"/>
    <x v="0"/>
    <x v="3"/>
    <s v="Dax Clear Box Frame"/>
    <n v="17.46"/>
    <n v="2"/>
    <n v="5.9363999999999999"/>
    <x v="4"/>
    <x v="1"/>
  </r>
  <r>
    <s v="CA-2016-109953"/>
    <x v="197"/>
    <d v="2016-07-18T00:00:00"/>
    <x v="1"/>
    <s v="RB-19360"/>
    <s v="Raymond Buch"/>
    <x v="0"/>
    <s v="United States"/>
    <x v="28"/>
    <x v="2"/>
    <x v="1"/>
    <s v="FUR-FU-10000073"/>
    <x v="0"/>
    <x v="3"/>
    <s v="Deflect-O Glasstique Clear Desk Accessories"/>
    <n v="30.8"/>
    <n v="4"/>
    <n v="10.164"/>
    <x v="4"/>
    <x v="3"/>
  </r>
  <r>
    <s v="CA-2016-137337"/>
    <x v="177"/>
    <d v="2016-03-12T00:00:00"/>
    <x v="1"/>
    <s v="GB-14575"/>
    <s v="Giulietta Baptist"/>
    <x v="0"/>
    <s v="United States"/>
    <x v="13"/>
    <x v="7"/>
    <x v="2"/>
    <s v="FUR-FU-10003347"/>
    <x v="0"/>
    <x v="3"/>
    <s v="Coloredge Poster Frame"/>
    <n v="113.6"/>
    <n v="8"/>
    <n v="44.304000000000002"/>
    <x v="4"/>
    <x v="9"/>
  </r>
  <r>
    <s v="CA-2016-101651"/>
    <x v="695"/>
    <d v="2016-12-30T00:00:00"/>
    <x v="1"/>
    <s v="SC-20305"/>
    <s v="Sean Christensen"/>
    <x v="0"/>
    <s v="United States"/>
    <x v="124"/>
    <x v="2"/>
    <x v="1"/>
    <s v="FUR-FU-10000771"/>
    <x v="0"/>
    <x v="3"/>
    <s v="Eldon 200 Class Desk Accessories, Smoke"/>
    <n v="43.96"/>
    <n v="7"/>
    <n v="18.463200000000001"/>
    <x v="6"/>
    <x v="5"/>
  </r>
  <r>
    <s v="CA-2017-136651"/>
    <x v="748"/>
    <d v="2017-04-25T00:00:00"/>
    <x v="0"/>
    <s v="JF-15355"/>
    <s v="Jay Fein"/>
    <x v="0"/>
    <s v="United States"/>
    <x v="102"/>
    <x v="2"/>
    <x v="1"/>
    <s v="FUR-FU-10002445"/>
    <x v="0"/>
    <x v="3"/>
    <s v="DAX Two-Tone Rosewood/Black Document Frame, Desktop, 5 x 7"/>
    <n v="66.36"/>
    <n v="7"/>
    <n v="26.544"/>
    <x v="3"/>
    <x v="6"/>
  </r>
  <r>
    <s v="CA-2017-136651"/>
    <x v="748"/>
    <d v="2017-04-25T00:00:00"/>
    <x v="0"/>
    <s v="JF-15355"/>
    <s v="Jay Fein"/>
    <x v="0"/>
    <s v="United States"/>
    <x v="102"/>
    <x v="2"/>
    <x v="1"/>
    <s v="FUR-FU-10004864"/>
    <x v="0"/>
    <x v="3"/>
    <s v="Eldon 500 Class Desk Accessories"/>
    <n v="24.14"/>
    <n v="2"/>
    <n v="7.9661999999999997"/>
    <x v="3"/>
    <x v="6"/>
  </r>
  <r>
    <s v="CA-2017-118892"/>
    <x v="301"/>
    <d v="2017-08-22T00:00:00"/>
    <x v="0"/>
    <s v="TP-21415"/>
    <s v="Tom Prescott"/>
    <x v="0"/>
    <s v="United States"/>
    <x v="3"/>
    <x v="3"/>
    <x v="2"/>
    <s v="FUR-CH-10002024"/>
    <x v="0"/>
    <x v="1"/>
    <s v="HON 5400 Series Task Chairs for Big and Tall"/>
    <n v="4416.174"/>
    <n v="9"/>
    <n v="-630.88199999999995"/>
    <x v="2"/>
    <x v="10"/>
  </r>
  <r>
    <s v="US-2014-127978"/>
    <x v="749"/>
    <d v="2014-03-08T00:00:00"/>
    <x v="1"/>
    <s v="JS-15595"/>
    <s v="Jill Stevenson"/>
    <x v="1"/>
    <s v="United States"/>
    <x v="29"/>
    <x v="15"/>
    <x v="2"/>
    <s v="FUR-BO-10001972"/>
    <x v="0"/>
    <x v="0"/>
    <s v="O'Sullivan 4-Shelf Bookcase in Odessa Pine"/>
    <n v="302.45"/>
    <n v="5"/>
    <n v="-199.61699999999999"/>
    <x v="2"/>
    <x v="9"/>
  </r>
  <r>
    <s v="CA-2016-152730"/>
    <x v="82"/>
    <d v="2016-06-04T00:00:00"/>
    <x v="1"/>
    <s v="EM-14140"/>
    <s v="Eugene Moren"/>
    <x v="2"/>
    <s v="United States"/>
    <x v="319"/>
    <x v="16"/>
    <x v="3"/>
    <s v="FUR-FU-10001037"/>
    <x v="0"/>
    <x v="3"/>
    <s v="DAX Charcoal/Nickel-Tone Document Frame, 5 x 7"/>
    <n v="47.4"/>
    <n v="5"/>
    <n v="21.33"/>
    <x v="2"/>
    <x v="7"/>
  </r>
  <r>
    <s v="US-2014-143721"/>
    <x v="255"/>
    <d v="2014-11-26T00:00:00"/>
    <x v="0"/>
    <s v="DK-12835"/>
    <s v="Damala Kotsonis"/>
    <x v="1"/>
    <s v="United States"/>
    <x v="6"/>
    <x v="5"/>
    <x v="3"/>
    <s v="FUR-CH-10001973"/>
    <x v="0"/>
    <x v="1"/>
    <s v="Office Star Flex Back Scooter Chair with White Frame"/>
    <n v="155.37200000000001"/>
    <n v="2"/>
    <n v="-35.513599999999997"/>
    <x v="0"/>
    <x v="0"/>
  </r>
  <r>
    <s v="CA-2016-133368"/>
    <x v="750"/>
    <d v="2016-01-20T00:00:00"/>
    <x v="1"/>
    <s v="AG-10675"/>
    <s v="Anna Gayman"/>
    <x v="0"/>
    <s v="United States"/>
    <x v="41"/>
    <x v="30"/>
    <x v="0"/>
    <s v="FUR-FU-10003374"/>
    <x v="0"/>
    <x v="3"/>
    <s v="Electrix Fluorescent Magnifier Lamps &amp; Weighted Base"/>
    <n v="315.77600000000001"/>
    <n v="8"/>
    <n v="31.5776"/>
    <x v="6"/>
    <x v="8"/>
  </r>
  <r>
    <s v="CA-2016-123337"/>
    <x v="751"/>
    <d v="2016-09-22T00:00:00"/>
    <x v="1"/>
    <s v="KD-16495"/>
    <s v="Keith Dawkins"/>
    <x v="1"/>
    <s v="United States"/>
    <x v="124"/>
    <x v="2"/>
    <x v="1"/>
    <s v="FUR-BO-10001918"/>
    <x v="0"/>
    <x v="0"/>
    <s v="Sauder Forest Hills Library with Doors, Woodland Oak Finish"/>
    <n v="273.666"/>
    <n v="2"/>
    <n v="-12.878399999999999"/>
    <x v="6"/>
    <x v="4"/>
  </r>
  <r>
    <s v="CA-2015-144519"/>
    <x v="18"/>
    <d v="2015-11-17T00:00:00"/>
    <x v="1"/>
    <s v="AW-10930"/>
    <s v="Arthur Wiediger"/>
    <x v="2"/>
    <s v="United States"/>
    <x v="320"/>
    <x v="46"/>
    <x v="1"/>
    <s v="FUR-FU-10000794"/>
    <x v="0"/>
    <x v="3"/>
    <s v="Eldon Stackable Tray, Side-Load, Legal, Smoke"/>
    <n v="63.98"/>
    <n v="7"/>
    <n v="21.7532"/>
    <x v="4"/>
    <x v="0"/>
  </r>
  <r>
    <s v="CA-2017-169439"/>
    <x v="198"/>
    <d v="2017-09-13T00:00:00"/>
    <x v="1"/>
    <s v="LC-17140"/>
    <s v="Logan Currie"/>
    <x v="0"/>
    <s v="United States"/>
    <x v="59"/>
    <x v="15"/>
    <x v="2"/>
    <s v="FUR-FU-10000723"/>
    <x v="0"/>
    <x v="3"/>
    <s v="Deflect-o EconoMat Studded, No Bevel Mat for Low Pile Carpeting"/>
    <n v="66.111999999999995"/>
    <n v="2"/>
    <n v="-9.0904000000000007"/>
    <x v="4"/>
    <x v="4"/>
  </r>
  <r>
    <s v="CA-2016-149965"/>
    <x v="210"/>
    <d v="2016-06-25T00:00:00"/>
    <x v="1"/>
    <s v="BS-11365"/>
    <s v="Bill Shonely"/>
    <x v="1"/>
    <s v="United States"/>
    <x v="258"/>
    <x v="37"/>
    <x v="3"/>
    <s v="FUR-FU-10004270"/>
    <x v="0"/>
    <x v="3"/>
    <s v="Executive Impressions 13&quot; Clairmont Wall Clock"/>
    <n v="57.69"/>
    <n v="3"/>
    <n v="23.652899999999999"/>
    <x v="2"/>
    <x v="2"/>
  </r>
  <r>
    <s v="CA-2016-113656"/>
    <x v="752"/>
    <d v="2016-01-29T00:00:00"/>
    <x v="1"/>
    <s v="CB-12415"/>
    <s v="Christy Brittain"/>
    <x v="0"/>
    <s v="United States"/>
    <x v="2"/>
    <x v="2"/>
    <x v="1"/>
    <s v="FUR-FU-10000719"/>
    <x v="0"/>
    <x v="3"/>
    <s v="DAX Cubicle Frames, 8-1/2 x 11"/>
    <n v="59.99"/>
    <n v="7"/>
    <n v="21.596399999999999"/>
    <x v="6"/>
    <x v="8"/>
  </r>
  <r>
    <s v="CA-2015-148964"/>
    <x v="753"/>
    <d v="2015-05-31T00:00:00"/>
    <x v="1"/>
    <s v="RD-19900"/>
    <s v="Ruben Dartt"/>
    <x v="0"/>
    <s v="United States"/>
    <x v="321"/>
    <x v="13"/>
    <x v="1"/>
    <s v="FUR-FU-10003849"/>
    <x v="0"/>
    <x v="3"/>
    <s v="DAX Metal Frame, Desktop, Stepped-Edge"/>
    <n v="20.239999999999998"/>
    <n v="1"/>
    <n v="7.8936000000000002"/>
    <x v="2"/>
    <x v="7"/>
  </r>
  <r>
    <s v="CA-2014-163468"/>
    <x v="356"/>
    <d v="2014-11-21T00:00:00"/>
    <x v="2"/>
    <s v="JK-15730"/>
    <s v="Joe Kamberova"/>
    <x v="0"/>
    <s v="United States"/>
    <x v="322"/>
    <x v="8"/>
    <x v="3"/>
    <s v="FUR-TA-10002533"/>
    <x v="0"/>
    <x v="2"/>
    <s v="BPI Conference Tables"/>
    <n v="292.10000000000002"/>
    <n v="4"/>
    <n v="-175.26"/>
    <x v="0"/>
    <x v="0"/>
  </r>
  <r>
    <s v="CA-2014-163468"/>
    <x v="356"/>
    <d v="2014-11-21T00:00:00"/>
    <x v="2"/>
    <s v="JK-15730"/>
    <s v="Joe Kamberova"/>
    <x v="0"/>
    <s v="United States"/>
    <x v="322"/>
    <x v="8"/>
    <x v="3"/>
    <s v="FUR-FU-10001546"/>
    <x v="0"/>
    <x v="3"/>
    <s v="Dana Swing-Arm Lamps"/>
    <n v="8.5440000000000005"/>
    <n v="2"/>
    <n v="-7.476"/>
    <x v="0"/>
    <x v="0"/>
  </r>
  <r>
    <s v="CA-2014-163468"/>
    <x v="356"/>
    <d v="2014-11-21T00:00:00"/>
    <x v="2"/>
    <s v="JK-15730"/>
    <s v="Joe Kamberova"/>
    <x v="0"/>
    <s v="United States"/>
    <x v="322"/>
    <x v="8"/>
    <x v="3"/>
    <s v="FUR-BO-10003546"/>
    <x v="0"/>
    <x v="0"/>
    <s v="Hon 4-Shelf Metal Bookcases"/>
    <n v="424.11599999999999"/>
    <n v="6"/>
    <n v="-30.294"/>
    <x v="0"/>
    <x v="0"/>
  </r>
  <r>
    <s v="US-2017-117450"/>
    <x v="362"/>
    <d v="2017-09-08T00:00:00"/>
    <x v="1"/>
    <s v="DO-13645"/>
    <s v="Doug O'Connell"/>
    <x v="0"/>
    <s v="United States"/>
    <x v="98"/>
    <x v="1"/>
    <x v="0"/>
    <s v="FUR-CH-10003817"/>
    <x v="0"/>
    <x v="1"/>
    <s v="Global Value Steno Chair, Gray"/>
    <n v="97.183999999999997"/>
    <n v="2"/>
    <n v="6.0739999999999998"/>
    <x v="4"/>
    <x v="4"/>
  </r>
  <r>
    <s v="CA-2014-137274"/>
    <x v="754"/>
    <d v="2014-04-02T00:00:00"/>
    <x v="1"/>
    <s v="MG-18145"/>
    <s v="Mike Gockenbach"/>
    <x v="0"/>
    <s v="United States"/>
    <x v="215"/>
    <x v="5"/>
    <x v="3"/>
    <s v="FUR-TA-10001889"/>
    <x v="0"/>
    <x v="2"/>
    <s v="Bush Advantage Collection Racetrack Conference Table"/>
    <n v="890.84100000000001"/>
    <n v="3"/>
    <n v="-152.71559999999999"/>
    <x v="4"/>
    <x v="9"/>
  </r>
  <r>
    <s v="CA-2016-144092"/>
    <x v="541"/>
    <d v="2016-11-07T00:00:00"/>
    <x v="0"/>
    <s v="LH-17155"/>
    <s v="Logan Haushalter"/>
    <x v="0"/>
    <s v="United States"/>
    <x v="124"/>
    <x v="2"/>
    <x v="1"/>
    <s v="FUR-CH-10004875"/>
    <x v="0"/>
    <x v="1"/>
    <s v="Harbour Creations 67200 Series Stacking Chairs"/>
    <n v="113.88800000000001"/>
    <n v="2"/>
    <n v="9.9651999999999994"/>
    <x v="3"/>
    <x v="0"/>
  </r>
  <r>
    <s v="CA-2016-132066"/>
    <x v="755"/>
    <d v="2016-10-20T00:00:00"/>
    <x v="1"/>
    <s v="NB-18655"/>
    <s v="Nona Balk"/>
    <x v="1"/>
    <s v="United States"/>
    <x v="13"/>
    <x v="7"/>
    <x v="2"/>
    <s v="FUR-TA-10001539"/>
    <x v="0"/>
    <x v="2"/>
    <s v="Chromcraft Rectangular Conference Tables"/>
    <n v="142.18199999999999"/>
    <n v="1"/>
    <n v="-37.915199999999999"/>
    <x v="4"/>
    <x v="1"/>
  </r>
  <r>
    <s v="CA-2017-100097"/>
    <x v="83"/>
    <d v="2017-11-29T00:00:00"/>
    <x v="0"/>
    <s v="MN-17935"/>
    <s v="Michael Nguyen"/>
    <x v="0"/>
    <s v="United States"/>
    <x v="13"/>
    <x v="7"/>
    <x v="2"/>
    <s v="FUR-FU-10003623"/>
    <x v="0"/>
    <x v="3"/>
    <s v="DataProducts Ampli Magnifier Task Lamp, Black,"/>
    <n v="135.30000000000001"/>
    <n v="5"/>
    <n v="37.884"/>
    <x v="0"/>
    <x v="0"/>
  </r>
  <r>
    <s v="US-2017-126053"/>
    <x v="446"/>
    <d v="2017-12-08T00:00:00"/>
    <x v="2"/>
    <s v="CS-11950"/>
    <s v="Carlos Soltero"/>
    <x v="0"/>
    <s v="United States"/>
    <x v="13"/>
    <x v="7"/>
    <x v="2"/>
    <s v="FUR-FU-10001934"/>
    <x v="0"/>
    <x v="3"/>
    <s v="Magnifier Swing Arm Lamp"/>
    <n v="41.96"/>
    <n v="2"/>
    <n v="10.909599999999999"/>
    <x v="0"/>
    <x v="5"/>
  </r>
  <r>
    <s v="US-2014-131275"/>
    <x v="385"/>
    <d v="2014-03-24T00:00:00"/>
    <x v="1"/>
    <s v="SC-20050"/>
    <s v="Sample Company A"/>
    <x v="2"/>
    <s v="United States"/>
    <x v="323"/>
    <x v="2"/>
    <x v="1"/>
    <s v="FUR-FU-10004597"/>
    <x v="0"/>
    <x v="3"/>
    <s v="Eldon Cleatmat Chair Mats for Medium Pile Carpets"/>
    <n v="111"/>
    <n v="2"/>
    <n v="14.43"/>
    <x v="6"/>
    <x v="9"/>
  </r>
  <r>
    <s v="CA-2016-149349"/>
    <x v="689"/>
    <d v="2016-11-13T00:00:00"/>
    <x v="2"/>
    <s v="SP-20650"/>
    <s v="Stephanie Phelps"/>
    <x v="1"/>
    <s v="United States"/>
    <x v="9"/>
    <x v="8"/>
    <x v="3"/>
    <s v="FUR-FU-10001037"/>
    <x v="0"/>
    <x v="3"/>
    <s v="DAX Charcoal/Nickel-Tone Document Frame, 5 x 7"/>
    <n v="22.751999999999999"/>
    <n v="6"/>
    <n v="-8.532"/>
    <x v="5"/>
    <x v="0"/>
  </r>
  <r>
    <s v="CA-2015-125563"/>
    <x v="756"/>
    <d v="2015-04-17T00:00:00"/>
    <x v="1"/>
    <s v="PR-18880"/>
    <s v="Patrick Ryan"/>
    <x v="0"/>
    <s v="United States"/>
    <x v="26"/>
    <x v="1"/>
    <x v="0"/>
    <s v="FUR-FU-10001290"/>
    <x v="0"/>
    <x v="3"/>
    <s v="Executive Impressions Supervisor Wall Clock"/>
    <n v="67.36"/>
    <n v="2"/>
    <n v="10.103999999999999"/>
    <x v="6"/>
    <x v="6"/>
  </r>
  <r>
    <s v="CA-2015-125563"/>
    <x v="756"/>
    <d v="2015-04-17T00:00:00"/>
    <x v="1"/>
    <s v="PR-18880"/>
    <s v="Patrick Ryan"/>
    <x v="0"/>
    <s v="United States"/>
    <x v="26"/>
    <x v="1"/>
    <x v="0"/>
    <s v="FUR-FU-10000087"/>
    <x v="0"/>
    <x v="3"/>
    <s v="Executive Impressions 14&quot; Two-Color Numerals Wall Clock"/>
    <n v="54.527999999999999"/>
    <n v="3"/>
    <n v="14.313599999999999"/>
    <x v="6"/>
    <x v="6"/>
  </r>
  <r>
    <s v="CA-2015-113152"/>
    <x v="344"/>
    <d v="2015-12-30T00:00:00"/>
    <x v="1"/>
    <s v="JK-15625"/>
    <s v="Jim Karlsson"/>
    <x v="0"/>
    <s v="United States"/>
    <x v="13"/>
    <x v="7"/>
    <x v="2"/>
    <s v="FUR-BO-10002613"/>
    <x v="0"/>
    <x v="0"/>
    <s v="Atlantic Metals Mobile 4-Shelf Bookcases, Custom Colors"/>
    <n v="449.56799999999998"/>
    <n v="2"/>
    <n v="56.195999999999998"/>
    <x v="2"/>
    <x v="5"/>
  </r>
  <r>
    <s v="CA-2014-163412"/>
    <x v="191"/>
    <d v="2014-12-23T00:00:00"/>
    <x v="0"/>
    <s v="SM-20950"/>
    <s v="Suzanne McNair"/>
    <x v="1"/>
    <s v="United States"/>
    <x v="13"/>
    <x v="7"/>
    <x v="2"/>
    <s v="FUR-CH-10004875"/>
    <x v="0"/>
    <x v="1"/>
    <s v="Harbour Creations 67200 Series Stacking Chairs"/>
    <n v="192.18600000000001"/>
    <n v="3"/>
    <n v="36.3018"/>
    <x v="0"/>
    <x v="5"/>
  </r>
  <r>
    <s v="CA-2014-116190"/>
    <x v="503"/>
    <d v="2014-08-01T00:00:00"/>
    <x v="1"/>
    <s v="SG-20470"/>
    <s v="Sheri Gordon"/>
    <x v="0"/>
    <s v="United States"/>
    <x v="182"/>
    <x v="24"/>
    <x v="0"/>
    <s v="FUR-CH-10000553"/>
    <x v="0"/>
    <x v="1"/>
    <s v="Metal Folding Chairs, Beige, 4/Carton"/>
    <n v="67.88"/>
    <n v="2"/>
    <n v="18.3276"/>
    <x v="6"/>
    <x v="3"/>
  </r>
  <r>
    <s v="CA-2014-116190"/>
    <x v="503"/>
    <d v="2014-08-01T00:00:00"/>
    <x v="1"/>
    <s v="SG-20470"/>
    <s v="Sheri Gordon"/>
    <x v="0"/>
    <s v="United States"/>
    <x v="182"/>
    <x v="24"/>
    <x v="0"/>
    <s v="FUR-FU-10000719"/>
    <x v="0"/>
    <x v="3"/>
    <s v="DAX Cubicle Frames, 8-1/2 x 11"/>
    <n v="25.71"/>
    <n v="3"/>
    <n v="9.2555999999999994"/>
    <x v="6"/>
    <x v="3"/>
  </r>
  <r>
    <s v="CA-2017-168389"/>
    <x v="246"/>
    <d v="2017-12-17T00:00:00"/>
    <x v="1"/>
    <s v="DV-13045"/>
    <s v="Darrin Van Huff"/>
    <x v="1"/>
    <s v="United States"/>
    <x v="51"/>
    <x v="1"/>
    <x v="0"/>
    <s v="FUR-TA-10004289"/>
    <x v="0"/>
    <x v="2"/>
    <s v="BoxOffice By Design Rectangular and Half-Moon Meeting Room Tables"/>
    <n v="721.875"/>
    <n v="6"/>
    <n v="-420"/>
    <x v="6"/>
    <x v="5"/>
  </r>
  <r>
    <s v="CA-2017-168389"/>
    <x v="246"/>
    <d v="2017-12-17T00:00:00"/>
    <x v="1"/>
    <s v="DV-13045"/>
    <s v="Darrin Van Huff"/>
    <x v="1"/>
    <s v="United States"/>
    <x v="51"/>
    <x v="1"/>
    <x v="0"/>
    <s v="FUR-CH-10000225"/>
    <x v="0"/>
    <x v="1"/>
    <s v="Global Geo Office Task Chair, Gray"/>
    <n v="64.784000000000006"/>
    <n v="1"/>
    <n v="-12.147"/>
    <x v="6"/>
    <x v="5"/>
  </r>
  <r>
    <s v="CA-2016-114748"/>
    <x v="714"/>
    <d v="2016-10-14T00:00:00"/>
    <x v="1"/>
    <s v="MZ-17335"/>
    <s v="Maria Zettner"/>
    <x v="2"/>
    <s v="United States"/>
    <x v="43"/>
    <x v="22"/>
    <x v="1"/>
    <s v="FUR-FU-10001488"/>
    <x v="0"/>
    <x v="3"/>
    <s v="Tenex 46&quot; x 60&quot; Computer Anti-Static Chairmat, Rectangular Shaped"/>
    <n v="169.56800000000001"/>
    <n v="2"/>
    <n v="0"/>
    <x v="2"/>
    <x v="1"/>
  </r>
  <r>
    <s v="US-2014-115189"/>
    <x v="757"/>
    <d v="2015-01-03T00:00:00"/>
    <x v="0"/>
    <s v="AR-10345"/>
    <s v="Alex Russell"/>
    <x v="1"/>
    <s v="United States"/>
    <x v="3"/>
    <x v="3"/>
    <x v="2"/>
    <s v="FUR-TA-10004575"/>
    <x v="0"/>
    <x v="2"/>
    <s v="Hon 5100 Series Wood Tables"/>
    <n v="523.76400000000001"/>
    <n v="3"/>
    <n v="-192.04679999999999"/>
    <x v="4"/>
    <x v="5"/>
  </r>
  <r>
    <s v="CA-2016-163594"/>
    <x v="188"/>
    <d v="2016-04-14T00:00:00"/>
    <x v="2"/>
    <s v="JF-15295"/>
    <s v="Jason Fortune-"/>
    <x v="0"/>
    <s v="United States"/>
    <x v="2"/>
    <x v="2"/>
    <x v="1"/>
    <s v="FUR-CH-10000225"/>
    <x v="0"/>
    <x v="1"/>
    <s v="Global Geo Office Task Chair, Gray"/>
    <n v="194.352"/>
    <n v="3"/>
    <n v="-36.441000000000003"/>
    <x v="3"/>
    <x v="6"/>
  </r>
  <r>
    <s v="CA-2016-127243"/>
    <x v="597"/>
    <d v="2016-12-04T00:00:00"/>
    <x v="1"/>
    <s v="DS-13180"/>
    <s v="David Smith"/>
    <x v="1"/>
    <s v="United States"/>
    <x v="3"/>
    <x v="3"/>
    <x v="2"/>
    <s v="FUR-CH-10002647"/>
    <x v="0"/>
    <x v="1"/>
    <s v="Situations Contoured Folding Chairs, 4/Set"/>
    <n v="347.80200000000002"/>
    <n v="7"/>
    <n v="-24.843"/>
    <x v="6"/>
    <x v="0"/>
  </r>
  <r>
    <s v="CA-2016-105732"/>
    <x v="758"/>
    <d v="2016-09-18T00:00:00"/>
    <x v="1"/>
    <s v="AG-10270"/>
    <s v="Alejandro Grove"/>
    <x v="0"/>
    <s v="United States"/>
    <x v="70"/>
    <x v="27"/>
    <x v="3"/>
    <s v="FUR-FU-10003664"/>
    <x v="0"/>
    <x v="3"/>
    <s v="Electrix Architect's Clamp-On Swing Arm Lamp, Black"/>
    <n v="1336.44"/>
    <n v="14"/>
    <n v="387.56760000000003"/>
    <x v="2"/>
    <x v="4"/>
  </r>
  <r>
    <s v="CA-2017-108035"/>
    <x v="759"/>
    <d v="2017-12-03T00:00:00"/>
    <x v="1"/>
    <s v="TT-21070"/>
    <s v="Ted Trevino"/>
    <x v="0"/>
    <s v="United States"/>
    <x v="196"/>
    <x v="9"/>
    <x v="0"/>
    <s v="FUR-CH-10000454"/>
    <x v="0"/>
    <x v="1"/>
    <s v="Hon Deluxe Fabric Upholstered Stacking Chairs, Rounded Back"/>
    <n v="390.36799999999999"/>
    <n v="2"/>
    <n v="48.795999999999999"/>
    <x v="4"/>
    <x v="0"/>
  </r>
  <r>
    <s v="CA-2017-108035"/>
    <x v="759"/>
    <d v="2017-12-03T00:00:00"/>
    <x v="1"/>
    <s v="TT-21070"/>
    <s v="Ted Trevino"/>
    <x v="0"/>
    <s v="United States"/>
    <x v="196"/>
    <x v="9"/>
    <x v="0"/>
    <s v="FUR-FU-10004017"/>
    <x v="0"/>
    <x v="3"/>
    <s v="Executive Impressions 13&quot; Chairman Wall Clock"/>
    <n v="101.52"/>
    <n v="5"/>
    <n v="19.035"/>
    <x v="4"/>
    <x v="0"/>
  </r>
  <r>
    <s v="CA-2016-110975"/>
    <x v="683"/>
    <d v="2016-12-30T00:00:00"/>
    <x v="1"/>
    <s v="DB-12970"/>
    <s v="Darren Budd"/>
    <x v="1"/>
    <s v="United States"/>
    <x v="13"/>
    <x v="7"/>
    <x v="2"/>
    <s v="FUR-TA-10002958"/>
    <x v="0"/>
    <x v="2"/>
    <s v="Bevis Oval Conference Table, Walnut"/>
    <n v="313.17599999999999"/>
    <n v="2"/>
    <n v="-120.0508"/>
    <x v="2"/>
    <x v="5"/>
  </r>
  <r>
    <s v="CA-2016-110975"/>
    <x v="683"/>
    <d v="2016-12-30T00:00:00"/>
    <x v="1"/>
    <s v="DB-12970"/>
    <s v="Darren Budd"/>
    <x v="1"/>
    <s v="United States"/>
    <x v="13"/>
    <x v="7"/>
    <x v="2"/>
    <s v="FUR-CH-10003746"/>
    <x v="0"/>
    <x v="1"/>
    <s v="Hon 4070 Series Pagoda Round Back Stacking Chairs"/>
    <n v="866.64599999999996"/>
    <n v="3"/>
    <n v="173.32919999999999"/>
    <x v="2"/>
    <x v="5"/>
  </r>
  <r>
    <s v="CA-2016-110009"/>
    <x v="63"/>
    <d v="2016-09-13T00:00:00"/>
    <x v="1"/>
    <s v="TR-21325"/>
    <s v="Toby Ritter"/>
    <x v="0"/>
    <s v="United States"/>
    <x v="15"/>
    <x v="13"/>
    <x v="1"/>
    <s v="FUR-FU-10003039"/>
    <x v="0"/>
    <x v="3"/>
    <s v="Howard Miller 11-1/2&quot; Diameter Grantwood Wall Clock"/>
    <n v="43.13"/>
    <n v="1"/>
    <n v="14.664199999999999"/>
    <x v="2"/>
    <x v="4"/>
  </r>
  <r>
    <s v="CA-2015-100146"/>
    <x v="760"/>
    <d v="2015-05-19T00:00:00"/>
    <x v="1"/>
    <s v="CB-12535"/>
    <s v="Claudia Bergmann"/>
    <x v="1"/>
    <s v="United States"/>
    <x v="324"/>
    <x v="2"/>
    <x v="1"/>
    <s v="FUR-BO-10004015"/>
    <x v="0"/>
    <x v="0"/>
    <s v="Bush Andora Bookcase, Maple/Graphite Gray Finish"/>
    <n v="509.95749999999998"/>
    <n v="5"/>
    <n v="41.996499999999997"/>
    <x v="2"/>
    <x v="7"/>
  </r>
  <r>
    <s v="CA-2015-100146"/>
    <x v="760"/>
    <d v="2015-05-19T00:00:00"/>
    <x v="1"/>
    <s v="CB-12535"/>
    <s v="Claudia Bergmann"/>
    <x v="1"/>
    <s v="United States"/>
    <x v="324"/>
    <x v="2"/>
    <x v="1"/>
    <s v="FUR-FU-10001979"/>
    <x v="0"/>
    <x v="3"/>
    <s v="Dana Halogen Swing-Arm Architect Lamp"/>
    <n v="122.91"/>
    <n v="3"/>
    <n v="34.4148"/>
    <x v="2"/>
    <x v="7"/>
  </r>
  <r>
    <s v="CA-2015-100146"/>
    <x v="760"/>
    <d v="2015-05-19T00:00:00"/>
    <x v="1"/>
    <s v="CB-12535"/>
    <s v="Claudia Bergmann"/>
    <x v="1"/>
    <s v="United States"/>
    <x v="324"/>
    <x v="2"/>
    <x v="1"/>
    <s v="FUR-CH-10003833"/>
    <x v="0"/>
    <x v="1"/>
    <s v="Novimex Fabric Task Chair"/>
    <n v="97.567999999999998"/>
    <n v="2"/>
    <n v="-6.0979999999999999"/>
    <x v="2"/>
    <x v="7"/>
  </r>
  <r>
    <s v="CA-2015-100146"/>
    <x v="760"/>
    <d v="2015-05-19T00:00:00"/>
    <x v="1"/>
    <s v="CB-12535"/>
    <s v="Claudia Bergmann"/>
    <x v="1"/>
    <s v="United States"/>
    <x v="324"/>
    <x v="2"/>
    <x v="1"/>
    <s v="FUR-CH-10004495"/>
    <x v="0"/>
    <x v="1"/>
    <s v="Global Leather and Oak Executive Chair, Black"/>
    <n v="722.35199999999998"/>
    <n v="3"/>
    <n v="81.264600000000002"/>
    <x v="2"/>
    <x v="7"/>
  </r>
  <r>
    <s v="CA-2016-129728"/>
    <x v="82"/>
    <d v="2016-06-06T00:00:00"/>
    <x v="1"/>
    <s v="JG-15310"/>
    <s v="Jason Gross"/>
    <x v="1"/>
    <s v="United States"/>
    <x v="2"/>
    <x v="2"/>
    <x v="1"/>
    <s v="FUR-FU-10003247"/>
    <x v="0"/>
    <x v="3"/>
    <s v="36X48 HARDFLOOR CHAIRMAT"/>
    <n v="167.84"/>
    <n v="8"/>
    <n v="11.748799999999999"/>
    <x v="1"/>
    <x v="7"/>
  </r>
  <r>
    <s v="CA-2014-121769"/>
    <x v="676"/>
    <d v="2014-04-12T00:00:00"/>
    <x v="1"/>
    <s v="JS-15880"/>
    <s v="John Stevenson"/>
    <x v="0"/>
    <s v="United States"/>
    <x v="219"/>
    <x v="15"/>
    <x v="2"/>
    <s v="FUR-TA-10004442"/>
    <x v="0"/>
    <x v="2"/>
    <s v="Riverside Furniture Stanwyck Manor Table Series"/>
    <n v="172.11"/>
    <n v="1"/>
    <n v="-94.660499999999999"/>
    <x v="4"/>
    <x v="6"/>
  </r>
  <r>
    <s v="CA-2017-121125"/>
    <x v="703"/>
    <d v="2017-06-03T00:00:00"/>
    <x v="1"/>
    <s v="MG-17890"/>
    <s v="Michael Granlund"/>
    <x v="2"/>
    <s v="United States"/>
    <x v="325"/>
    <x v="36"/>
    <x v="1"/>
    <s v="FUR-FU-10000820"/>
    <x v="0"/>
    <x v="3"/>
    <s v="Tensor Brushed Steel Torchiere Floor Lamp"/>
    <n v="13.592000000000001"/>
    <n v="1"/>
    <n v="-0.33979999999999999"/>
    <x v="4"/>
    <x v="7"/>
  </r>
  <r>
    <s v="US-2016-114013"/>
    <x v="345"/>
    <d v="2016-03-15T00:00:00"/>
    <x v="0"/>
    <s v="SC-20770"/>
    <s v="Stewart Carmichael"/>
    <x v="1"/>
    <s v="United States"/>
    <x v="3"/>
    <x v="3"/>
    <x v="2"/>
    <s v="FUR-CH-10004287"/>
    <x v="0"/>
    <x v="1"/>
    <s v="SAFCO Arco Folding Chair"/>
    <n v="386.68"/>
    <n v="2"/>
    <n v="-5.524"/>
    <x v="3"/>
    <x v="9"/>
  </r>
  <r>
    <s v="CA-2017-135069"/>
    <x v="662"/>
    <d v="2017-04-14T00:00:00"/>
    <x v="1"/>
    <s v="BS-11755"/>
    <s v="Bruce Stewart"/>
    <x v="0"/>
    <s v="United States"/>
    <x v="3"/>
    <x v="3"/>
    <x v="2"/>
    <s v="FUR-FU-10003878"/>
    <x v="0"/>
    <x v="3"/>
    <s v="Linden 10&quot; Round Wall Clock, Black"/>
    <n v="36.671999999999997"/>
    <n v="3"/>
    <n v="6.4176000000000002"/>
    <x v="4"/>
    <x v="6"/>
  </r>
  <r>
    <s v="CA-2016-101693"/>
    <x v="324"/>
    <d v="2016-06-27T00:00:00"/>
    <x v="0"/>
    <s v="LC-17140"/>
    <s v="Logan Currie"/>
    <x v="0"/>
    <s v="United States"/>
    <x v="6"/>
    <x v="5"/>
    <x v="3"/>
    <s v="FUR-CH-10001146"/>
    <x v="0"/>
    <x v="1"/>
    <s v="Global Value Mid-Back Manager's Chair, Gray"/>
    <n v="85.245999999999995"/>
    <n v="2"/>
    <n v="-6.0890000000000004"/>
    <x v="3"/>
    <x v="2"/>
  </r>
  <r>
    <s v="CA-2016-101693"/>
    <x v="324"/>
    <d v="2016-06-27T00:00:00"/>
    <x v="0"/>
    <s v="LC-17140"/>
    <s v="Logan Currie"/>
    <x v="0"/>
    <s v="United States"/>
    <x v="6"/>
    <x v="5"/>
    <x v="3"/>
    <s v="FUR-FU-10003919"/>
    <x v="0"/>
    <x v="3"/>
    <s v="Eldon Executive Woodline II Cherry Finish Desk Accessories"/>
    <n v="32.712000000000003"/>
    <n v="2"/>
    <n v="-26.169599999999999"/>
    <x v="3"/>
    <x v="2"/>
  </r>
  <r>
    <s v="CA-2015-145457"/>
    <x v="257"/>
    <d v="2015-03-27T00:00:00"/>
    <x v="0"/>
    <s v="CP-12085"/>
    <s v="Cathy Prescott"/>
    <x v="1"/>
    <s v="United States"/>
    <x v="326"/>
    <x v="13"/>
    <x v="1"/>
    <s v="FUR-FU-10003832"/>
    <x v="0"/>
    <x v="3"/>
    <s v="Eldon Expressions Punched Metal &amp; Wood Desk Accessories, Black &amp; Cherry"/>
    <n v="46.9"/>
    <n v="5"/>
    <n v="13.132"/>
    <x v="0"/>
    <x v="9"/>
  </r>
  <r>
    <s v="US-2017-163657"/>
    <x v="113"/>
    <d v="2017-09-06T00:00:00"/>
    <x v="1"/>
    <s v="JL-15235"/>
    <s v="Janet Lee"/>
    <x v="0"/>
    <s v="United States"/>
    <x v="2"/>
    <x v="2"/>
    <x v="1"/>
    <s v="FUR-TA-10004607"/>
    <x v="0"/>
    <x v="2"/>
    <s v="Hon 2111 Invitation Series Straight Table"/>
    <n v="236.52799999999999"/>
    <n v="2"/>
    <n v="-2.9565999999999999"/>
    <x v="4"/>
    <x v="4"/>
  </r>
  <r>
    <s v="CA-2017-127474"/>
    <x v="761"/>
    <d v="2017-02-07T00:00:00"/>
    <x v="0"/>
    <s v="RD-19810"/>
    <s v="Ross DeVincentis"/>
    <x v="2"/>
    <s v="United States"/>
    <x v="9"/>
    <x v="8"/>
    <x v="3"/>
    <s v="FUR-FU-10004597"/>
    <x v="0"/>
    <x v="3"/>
    <s v="Eldon Cleatmat Chair Mats for Medium Pile Carpets"/>
    <n v="22.2"/>
    <n v="1"/>
    <n v="-26.085000000000001"/>
    <x v="4"/>
    <x v="11"/>
  </r>
  <r>
    <s v="CA-2017-115448"/>
    <x v="762"/>
    <d v="2017-11-14T00:00:00"/>
    <x v="2"/>
    <s v="MH-18025"/>
    <s v="Michelle Huthwaite"/>
    <x v="0"/>
    <s v="United States"/>
    <x v="270"/>
    <x v="9"/>
    <x v="0"/>
    <s v="FUR-FU-10004090"/>
    <x v="0"/>
    <x v="3"/>
    <s v="Executive Impressions 14&quot; Contract Wall Clock"/>
    <n v="88.92"/>
    <n v="5"/>
    <n v="14.4495"/>
    <x v="0"/>
    <x v="0"/>
  </r>
  <r>
    <s v="CA-2017-105669"/>
    <x v="342"/>
    <d v="2017-09-22T00:00:00"/>
    <x v="0"/>
    <s v="SJ-20125"/>
    <s v="Sanjit Jacobs"/>
    <x v="2"/>
    <s v="United States"/>
    <x v="6"/>
    <x v="5"/>
    <x v="3"/>
    <s v="FUR-CH-10003774"/>
    <x v="0"/>
    <x v="1"/>
    <s v="Global Wood Trimmed Manager's Task Chair, Khaki"/>
    <n v="318.43"/>
    <n v="5"/>
    <n v="-77.332999999999998"/>
    <x v="2"/>
    <x v="4"/>
  </r>
  <r>
    <s v="CA-2015-137974"/>
    <x v="763"/>
    <d v="2015-04-18T00:00:00"/>
    <x v="2"/>
    <s v="LL-16840"/>
    <s v="Lauren Leatherbury"/>
    <x v="0"/>
    <s v="United States"/>
    <x v="61"/>
    <x v="25"/>
    <x v="0"/>
    <s v="FUR-FU-10001468"/>
    <x v="0"/>
    <x v="3"/>
    <s v="Tenex Antistatic Computer Chair Mats"/>
    <n v="1196.8599999999999"/>
    <n v="7"/>
    <n v="119.68600000000001"/>
    <x v="3"/>
    <x v="6"/>
  </r>
  <r>
    <s v="CA-2015-137974"/>
    <x v="763"/>
    <d v="2015-04-18T00:00:00"/>
    <x v="2"/>
    <s v="LL-16840"/>
    <s v="Lauren Leatherbury"/>
    <x v="0"/>
    <s v="United States"/>
    <x v="61"/>
    <x v="25"/>
    <x v="0"/>
    <s v="FUR-BO-10001519"/>
    <x v="0"/>
    <x v="0"/>
    <s v="O'Sullivan 3-Shelf Heavy-Duty Bookcases"/>
    <n v="523.26"/>
    <n v="9"/>
    <n v="125.58240000000001"/>
    <x v="3"/>
    <x v="6"/>
  </r>
  <r>
    <s v="CA-2017-148985"/>
    <x v="762"/>
    <d v="2017-11-15T00:00:00"/>
    <x v="0"/>
    <s v="TB-21190"/>
    <s v="Thomas Brumley"/>
    <x v="2"/>
    <s v="United States"/>
    <x v="2"/>
    <x v="2"/>
    <x v="1"/>
    <s v="FUR-FU-10001424"/>
    <x v="0"/>
    <x v="3"/>
    <s v="Dax Clear Box Frame"/>
    <n v="34.92"/>
    <n v="4"/>
    <n v="11.8728"/>
    <x v="4"/>
    <x v="0"/>
  </r>
  <r>
    <s v="CA-2014-138100"/>
    <x v="712"/>
    <d v="2014-09-20T00:00:00"/>
    <x v="1"/>
    <s v="AA-10315"/>
    <s v="Alex Avila"/>
    <x v="0"/>
    <s v="United States"/>
    <x v="13"/>
    <x v="7"/>
    <x v="2"/>
    <s v="FUR-FU-10002456"/>
    <x v="0"/>
    <x v="3"/>
    <s v="Master Caster Door Stop, Large Neon Orange"/>
    <n v="14.56"/>
    <n v="2"/>
    <n v="6.2607999999999997"/>
    <x v="2"/>
    <x v="4"/>
  </r>
  <r>
    <s v="CA-2014-167199"/>
    <x v="764"/>
    <d v="2014-01-10T00:00:00"/>
    <x v="1"/>
    <s v="ME-17320"/>
    <s v="Maria Etezadi"/>
    <x v="2"/>
    <s v="United States"/>
    <x v="0"/>
    <x v="0"/>
    <x v="0"/>
    <s v="FUR-CH-10004063"/>
    <x v="0"/>
    <x v="1"/>
    <s v="Global Deluxe High-Back Manager's Chair"/>
    <n v="2573.8200000000002"/>
    <n v="9"/>
    <n v="746.40779999999995"/>
    <x v="4"/>
    <x v="8"/>
  </r>
  <r>
    <s v="CA-2014-129938"/>
    <x v="256"/>
    <d v="2014-12-17T00:00:00"/>
    <x v="0"/>
    <s v="EB-13705"/>
    <s v="Ed Braxton"/>
    <x v="1"/>
    <s v="United States"/>
    <x v="3"/>
    <x v="3"/>
    <x v="2"/>
    <s v="FUR-CH-10003774"/>
    <x v="0"/>
    <x v="1"/>
    <s v="Global Wood Trimmed Manager's Task Chair, Khaki"/>
    <n v="445.80200000000002"/>
    <n v="7"/>
    <n v="-108.2662"/>
    <x v="3"/>
    <x v="5"/>
  </r>
  <r>
    <s v="US-2015-134558"/>
    <x v="765"/>
    <d v="2015-12-24T00:00:00"/>
    <x v="0"/>
    <s v="PM-19135"/>
    <s v="Peter McVee"/>
    <x v="2"/>
    <s v="United States"/>
    <x v="63"/>
    <x v="28"/>
    <x v="2"/>
    <s v="FUR-TA-10003473"/>
    <x v="0"/>
    <x v="2"/>
    <s v="Bretford Rectangular Conference Table Tops"/>
    <n v="1053.164"/>
    <n v="4"/>
    <n v="-105.3164"/>
    <x v="2"/>
    <x v="5"/>
  </r>
  <r>
    <s v="CA-2015-108672"/>
    <x v="468"/>
    <d v="2015-09-16T00:00:00"/>
    <x v="1"/>
    <s v="FA-14230"/>
    <s v="Frank Atkinson"/>
    <x v="1"/>
    <s v="United States"/>
    <x v="2"/>
    <x v="2"/>
    <x v="1"/>
    <s v="FUR-FU-10003799"/>
    <x v="0"/>
    <x v="3"/>
    <s v="Seth Thomas 13 1/2&quot; Wall Clock"/>
    <n v="106.68"/>
    <n v="6"/>
    <n v="33.070799999999998"/>
    <x v="6"/>
    <x v="4"/>
  </r>
  <r>
    <s v="US-2017-160836"/>
    <x v="91"/>
    <d v="2017-09-16T00:00:00"/>
    <x v="1"/>
    <s v="CC-12475"/>
    <s v="Cindy Chapman"/>
    <x v="0"/>
    <s v="United States"/>
    <x v="6"/>
    <x v="5"/>
    <x v="3"/>
    <s v="FUR-TA-10002855"/>
    <x v="0"/>
    <x v="2"/>
    <s v="Bevis Round Conference Table Top &amp; Single Column Base"/>
    <n v="512.19000000000005"/>
    <n v="5"/>
    <n v="-65.852999999999994"/>
    <x v="2"/>
    <x v="4"/>
  </r>
  <r>
    <s v="CA-2017-121048"/>
    <x v="766"/>
    <d v="2017-07-18T00:00:00"/>
    <x v="1"/>
    <s v="TC-21295"/>
    <s v="Toby Carlisle"/>
    <x v="0"/>
    <s v="United States"/>
    <x v="327"/>
    <x v="2"/>
    <x v="1"/>
    <s v="FUR-FU-10003601"/>
    <x v="0"/>
    <x v="3"/>
    <s v="Deflect-o RollaMat Studded, Beveled Mat for Medium Pile Carpeting"/>
    <n v="276.69"/>
    <n v="3"/>
    <n v="49.804200000000002"/>
    <x v="4"/>
    <x v="3"/>
  </r>
  <r>
    <s v="CA-2017-121048"/>
    <x v="766"/>
    <d v="2017-07-18T00:00:00"/>
    <x v="1"/>
    <s v="TC-21295"/>
    <s v="Toby Carlisle"/>
    <x v="0"/>
    <s v="United States"/>
    <x v="327"/>
    <x v="2"/>
    <x v="1"/>
    <s v="FUR-FU-10002960"/>
    <x v="0"/>
    <x v="3"/>
    <s v="Eldon 200 Class Desk Accessories, Burgundy"/>
    <n v="18.84"/>
    <n v="3"/>
    <n v="7.9127999999999998"/>
    <x v="4"/>
    <x v="3"/>
  </r>
  <r>
    <s v="US-2017-161935"/>
    <x v="766"/>
    <d v="2017-07-18T00:00:00"/>
    <x v="1"/>
    <s v="JL-15835"/>
    <s v="John Lee"/>
    <x v="0"/>
    <s v="United States"/>
    <x v="29"/>
    <x v="15"/>
    <x v="2"/>
    <s v="FUR-FU-10002937"/>
    <x v="0"/>
    <x v="3"/>
    <s v="GE 48&quot; Fluorescent Tube, Cool White Energy Saver, 34 Watts, 30/Box"/>
    <n v="396.92"/>
    <n v="5"/>
    <n v="148.845"/>
    <x v="4"/>
    <x v="3"/>
  </r>
  <r>
    <s v="CA-2016-162383"/>
    <x v="26"/>
    <d v="2016-09-11T00:00:00"/>
    <x v="1"/>
    <s v="MD-17350"/>
    <s v="Maribeth Dona"/>
    <x v="0"/>
    <s v="United States"/>
    <x v="68"/>
    <x v="15"/>
    <x v="2"/>
    <s v="FUR-CH-10004477"/>
    <x v="0"/>
    <x v="1"/>
    <s v="Global Push Button Manager's Chair, Indigo"/>
    <n v="85.245999999999995"/>
    <n v="2"/>
    <n v="-1.2178"/>
    <x v="6"/>
    <x v="4"/>
  </r>
  <r>
    <s v="CA-2014-125731"/>
    <x v="767"/>
    <d v="2014-09-16T00:00:00"/>
    <x v="1"/>
    <s v="CL-12565"/>
    <s v="Clay Ludtke"/>
    <x v="0"/>
    <s v="United States"/>
    <x v="195"/>
    <x v="36"/>
    <x v="1"/>
    <s v="FUR-CH-10003973"/>
    <x v="0"/>
    <x v="1"/>
    <s v="GuestStacker Chair with Chrome Finish Legs"/>
    <n v="1487.04"/>
    <n v="5"/>
    <n v="148.70400000000001"/>
    <x v="6"/>
    <x v="4"/>
  </r>
  <r>
    <s v="US-2017-106145"/>
    <x v="572"/>
    <d v="2017-09-26T00:00:00"/>
    <x v="3"/>
    <s v="RA-19885"/>
    <s v="Ruben Ausman"/>
    <x v="1"/>
    <s v="United States"/>
    <x v="28"/>
    <x v="2"/>
    <x v="1"/>
    <s v="FUR-FU-10003829"/>
    <x v="0"/>
    <x v="3"/>
    <s v="Stackable Trays"/>
    <n v="9.24"/>
    <n v="3"/>
    <n v="2.9567999999999999"/>
    <x v="7"/>
    <x v="4"/>
  </r>
  <r>
    <s v="CA-2016-107146"/>
    <x v="9"/>
    <d v="2016-06-19T00:00:00"/>
    <x v="2"/>
    <s v="LC-16885"/>
    <s v="Lena Creighton"/>
    <x v="0"/>
    <s v="United States"/>
    <x v="328"/>
    <x v="12"/>
    <x v="1"/>
    <s v="FUR-FU-10002298"/>
    <x v="0"/>
    <x v="3"/>
    <s v="Rubbermaid ClusterMat Chairmats, Mat Size- 66&quot; x 60&quot;, Lip 20&quot; x 11&quot; -90 Degree Angle"/>
    <n v="266.35199999999998"/>
    <n v="3"/>
    <n v="-13.317600000000001"/>
    <x v="3"/>
    <x v="2"/>
  </r>
  <r>
    <s v="CA-2016-107146"/>
    <x v="9"/>
    <d v="2016-06-19T00:00:00"/>
    <x v="2"/>
    <s v="LC-16885"/>
    <s v="Lena Creighton"/>
    <x v="0"/>
    <s v="United States"/>
    <x v="328"/>
    <x v="12"/>
    <x v="1"/>
    <s v="FUR-CH-10004853"/>
    <x v="0"/>
    <x v="1"/>
    <s v="Global Manager's Adjustable Task Chair, Storm"/>
    <n v="483.13600000000002"/>
    <n v="4"/>
    <n v="54.352800000000002"/>
    <x v="3"/>
    <x v="2"/>
  </r>
  <r>
    <s v="US-2017-134642"/>
    <x v="768"/>
    <d v="2017-03-01T00:00:00"/>
    <x v="1"/>
    <s v="SW-20245"/>
    <s v="Scot Wooten"/>
    <x v="0"/>
    <s v="United States"/>
    <x v="329"/>
    <x v="30"/>
    <x v="0"/>
    <s v="FUR-CH-10002880"/>
    <x v="0"/>
    <x v="1"/>
    <s v="Global High-Back Leather Tilter, Burgundy"/>
    <n v="196.78399999999999"/>
    <n v="2"/>
    <n v="-22.138200000000001"/>
    <x v="4"/>
    <x v="11"/>
  </r>
  <r>
    <s v="US-2017-134642"/>
    <x v="768"/>
    <d v="2017-03-01T00:00:00"/>
    <x v="1"/>
    <s v="SW-20245"/>
    <s v="Scot Wooten"/>
    <x v="0"/>
    <s v="United States"/>
    <x v="329"/>
    <x v="30"/>
    <x v="0"/>
    <s v="FUR-BO-10004709"/>
    <x v="0"/>
    <x v="0"/>
    <s v="Bush Westfield Collection Bookcases, Medium Cherry Finish"/>
    <n v="231.92"/>
    <n v="5"/>
    <n v="5.798"/>
    <x v="4"/>
    <x v="11"/>
  </r>
  <r>
    <s v="CA-2017-103415"/>
    <x v="587"/>
    <d v="2017-12-08T00:00:00"/>
    <x v="1"/>
    <s v="MV-17485"/>
    <s v="Mark Van Huff"/>
    <x v="0"/>
    <s v="United States"/>
    <x v="6"/>
    <x v="5"/>
    <x v="3"/>
    <s v="FUR-FU-10000820"/>
    <x v="0"/>
    <x v="3"/>
    <s v="Tensor Brushed Steel Torchiere Floor Lamp"/>
    <n v="13.592000000000001"/>
    <n v="2"/>
    <n v="-14.271599999999999"/>
    <x v="2"/>
    <x v="5"/>
  </r>
  <r>
    <s v="US-2017-112347"/>
    <x v="308"/>
    <d v="2017-12-06T00:00:00"/>
    <x v="1"/>
    <s v="BS-11380"/>
    <s v="Bill Stewart"/>
    <x v="1"/>
    <s v="United States"/>
    <x v="22"/>
    <x v="12"/>
    <x v="1"/>
    <s v="FUR-BO-10003546"/>
    <x v="0"/>
    <x v="0"/>
    <s v="Hon 4-Shelf Metal Bookcases"/>
    <n v="242.352"/>
    <n v="8"/>
    <n v="-363.52800000000002"/>
    <x v="4"/>
    <x v="5"/>
  </r>
  <r>
    <s v="US-2017-112347"/>
    <x v="308"/>
    <d v="2017-12-06T00:00:00"/>
    <x v="1"/>
    <s v="BS-11380"/>
    <s v="Bill Stewart"/>
    <x v="1"/>
    <s v="United States"/>
    <x v="22"/>
    <x v="12"/>
    <x v="1"/>
    <s v="FUR-FU-10001488"/>
    <x v="0"/>
    <x v="3"/>
    <s v="Tenex 46&quot; x 60&quot; Computer Anti-Static Chairmat, Rectangular Shaped"/>
    <n v="508.70400000000001"/>
    <n v="6"/>
    <n v="0"/>
    <x v="4"/>
    <x v="5"/>
  </r>
  <r>
    <s v="US-2017-112347"/>
    <x v="308"/>
    <d v="2017-12-06T00:00:00"/>
    <x v="1"/>
    <s v="BS-11380"/>
    <s v="Bill Stewart"/>
    <x v="1"/>
    <s v="United States"/>
    <x v="22"/>
    <x v="12"/>
    <x v="1"/>
    <s v="FUR-CH-10002335"/>
    <x v="0"/>
    <x v="1"/>
    <s v="Hon GuestStacker Chair"/>
    <n v="906.68"/>
    <n v="5"/>
    <n v="68.001000000000005"/>
    <x v="4"/>
    <x v="5"/>
  </r>
  <r>
    <s v="CA-2016-136595"/>
    <x v="26"/>
    <d v="2016-09-07T00:00:00"/>
    <x v="2"/>
    <s v="EM-13825"/>
    <s v="Elizabeth Moffitt"/>
    <x v="1"/>
    <s v="United States"/>
    <x v="6"/>
    <x v="5"/>
    <x v="3"/>
    <s v="FUR-FU-10004671"/>
    <x v="0"/>
    <x v="3"/>
    <s v="Executive Impressions 12&quot; Wall Clock"/>
    <n v="21.204000000000001"/>
    <n v="3"/>
    <n v="-11.6622"/>
    <x v="3"/>
    <x v="4"/>
  </r>
  <r>
    <s v="CA-2014-114181"/>
    <x v="769"/>
    <d v="2014-05-14T00:00:00"/>
    <x v="0"/>
    <s v="AF-10885"/>
    <s v="Art Foster"/>
    <x v="0"/>
    <s v="United States"/>
    <x v="3"/>
    <x v="3"/>
    <x v="2"/>
    <s v="FUR-BO-10004467"/>
    <x v="0"/>
    <x v="0"/>
    <s v="Bestar Classic Bookcase"/>
    <n v="349.96499999999997"/>
    <n v="7"/>
    <n v="-216.97829999999999"/>
    <x v="4"/>
    <x v="7"/>
  </r>
  <r>
    <s v="US-2014-137155"/>
    <x v="770"/>
    <d v="2014-11-05T00:00:00"/>
    <x v="1"/>
    <s v="DL-12925"/>
    <s v="Daniel Lacy"/>
    <x v="0"/>
    <s v="United States"/>
    <x v="62"/>
    <x v="7"/>
    <x v="2"/>
    <s v="FUR-FU-10003142"/>
    <x v="0"/>
    <x v="3"/>
    <s v="Master Big Foot Doorstop, Beige"/>
    <n v="31.68"/>
    <n v="6"/>
    <n v="9.8208000000000002"/>
    <x v="4"/>
    <x v="0"/>
  </r>
  <r>
    <s v="CA-2016-105746"/>
    <x v="771"/>
    <d v="2017-01-01T00:00:00"/>
    <x v="2"/>
    <s v="BD-11605"/>
    <s v="Brian Dahlen"/>
    <x v="0"/>
    <s v="United States"/>
    <x v="68"/>
    <x v="3"/>
    <x v="2"/>
    <s v="FUR-CH-10000454"/>
    <x v="0"/>
    <x v="1"/>
    <s v="Hon Deluxe Fabric Upholstered Stacking Chairs, Rounded Back"/>
    <n v="170.786"/>
    <n v="1"/>
    <n v="0"/>
    <x v="3"/>
    <x v="5"/>
  </r>
  <r>
    <s v="US-2016-104815"/>
    <x v="222"/>
    <d v="2016-09-07T00:00:00"/>
    <x v="1"/>
    <s v="RB-19570"/>
    <s v="Rob Beeghly"/>
    <x v="0"/>
    <s v="United States"/>
    <x v="9"/>
    <x v="8"/>
    <x v="3"/>
    <s v="FUR-BO-10003894"/>
    <x v="0"/>
    <x v="0"/>
    <s v="Safco Value Mate Steel Bookcase, Baked Enamel Finish on Steel, Black"/>
    <n v="198.744"/>
    <n v="4"/>
    <n v="0"/>
    <x v="4"/>
    <x v="4"/>
  </r>
  <r>
    <s v="US-2016-166660"/>
    <x v="772"/>
    <d v="2016-02-01T00:00:00"/>
    <x v="0"/>
    <s v="TB-21250"/>
    <s v="Tim Brockman"/>
    <x v="0"/>
    <s v="United States"/>
    <x v="15"/>
    <x v="13"/>
    <x v="1"/>
    <s v="FUR-CH-10001190"/>
    <x v="0"/>
    <x v="1"/>
    <s v="Global Deluxe High-Back Office Chair in Storm"/>
    <n v="435.16800000000001"/>
    <n v="4"/>
    <n v="-59.835599999999999"/>
    <x v="3"/>
    <x v="8"/>
  </r>
  <r>
    <s v="US-2016-166660"/>
    <x v="772"/>
    <d v="2016-02-01T00:00:00"/>
    <x v="0"/>
    <s v="TB-21250"/>
    <s v="Tim Brockman"/>
    <x v="0"/>
    <s v="United States"/>
    <x v="15"/>
    <x v="13"/>
    <x v="1"/>
    <s v="FUR-BO-10000468"/>
    <x v="0"/>
    <x v="0"/>
    <s v="O'Sullivan 2-Shelf Heavy-Duty Bookcases"/>
    <n v="48.58"/>
    <n v="1"/>
    <n v="7.7728000000000002"/>
    <x v="3"/>
    <x v="8"/>
  </r>
  <r>
    <s v="CA-2014-100916"/>
    <x v="299"/>
    <d v="2014-10-26T00:00:00"/>
    <x v="1"/>
    <s v="FH-14275"/>
    <s v="Frank Hawley"/>
    <x v="1"/>
    <s v="United States"/>
    <x v="330"/>
    <x v="25"/>
    <x v="0"/>
    <s v="FUR-TA-10004607"/>
    <x v="0"/>
    <x v="2"/>
    <s v="Hon 2111 Invitation Series Straight Table"/>
    <n v="591.32000000000005"/>
    <n v="4"/>
    <n v="112.35080000000001"/>
    <x v="2"/>
    <x v="1"/>
  </r>
  <r>
    <s v="CA-2016-138597"/>
    <x v="105"/>
    <d v="2016-12-21T00:00:00"/>
    <x v="2"/>
    <s v="PN-18775"/>
    <s v="Parhena Norris"/>
    <x v="2"/>
    <s v="United States"/>
    <x v="70"/>
    <x v="27"/>
    <x v="3"/>
    <s v="FUR-CH-10004997"/>
    <x v="0"/>
    <x v="1"/>
    <s v="Hon Every-Day Series Multi-Task Chairs"/>
    <n v="563.94000000000005"/>
    <n v="3"/>
    <n v="112.788"/>
    <x v="0"/>
    <x v="5"/>
  </r>
  <r>
    <s v="CA-2015-142734"/>
    <x v="763"/>
    <d v="2015-04-21T00:00:00"/>
    <x v="1"/>
    <s v="DM-13345"/>
    <s v="Denise Monton"/>
    <x v="1"/>
    <s v="United States"/>
    <x v="13"/>
    <x v="7"/>
    <x v="2"/>
    <s v="FUR-CH-10003968"/>
    <x v="0"/>
    <x v="1"/>
    <s v="Novimex Turbo Task Chair"/>
    <n v="127.764"/>
    <n v="2"/>
    <n v="2.8391999999999999"/>
    <x v="2"/>
    <x v="6"/>
  </r>
  <r>
    <s v="CA-2017-122945"/>
    <x v="716"/>
    <d v="2017-11-22T00:00:00"/>
    <x v="1"/>
    <s v="MB-18085"/>
    <s v="Mick Brown"/>
    <x v="0"/>
    <s v="United States"/>
    <x v="18"/>
    <x v="2"/>
    <x v="1"/>
    <s v="FUR-FU-10001196"/>
    <x v="0"/>
    <x v="3"/>
    <s v="DAX Cubicle Frames - 8x10"/>
    <n v="17.309999999999999"/>
    <n v="3"/>
    <n v="5.1929999999999996"/>
    <x v="6"/>
    <x v="0"/>
  </r>
  <r>
    <s v="CA-2016-158778"/>
    <x v="26"/>
    <d v="2016-09-09T00:00:00"/>
    <x v="1"/>
    <s v="DB-13210"/>
    <s v="Dean Braden"/>
    <x v="0"/>
    <s v="United States"/>
    <x v="3"/>
    <x v="3"/>
    <x v="2"/>
    <s v="FUR-FU-10000260"/>
    <x v="0"/>
    <x v="3"/>
    <s v="6&quot; Cubicle Wall Clock, Black"/>
    <n v="58.247999999999998"/>
    <n v="9"/>
    <n v="11.6496"/>
    <x v="4"/>
    <x v="4"/>
  </r>
  <r>
    <s v="CA-2016-158778"/>
    <x v="26"/>
    <d v="2016-09-09T00:00:00"/>
    <x v="1"/>
    <s v="DB-13210"/>
    <s v="Dean Braden"/>
    <x v="0"/>
    <s v="United States"/>
    <x v="3"/>
    <x v="3"/>
    <x v="2"/>
    <s v="FUR-CH-10001146"/>
    <x v="0"/>
    <x v="1"/>
    <s v="Global Task Chair, Black"/>
    <n v="71.245999999999995"/>
    <n v="2"/>
    <n v="-19.338200000000001"/>
    <x v="4"/>
    <x v="4"/>
  </r>
  <r>
    <s v="CA-2016-158778"/>
    <x v="26"/>
    <d v="2016-09-09T00:00:00"/>
    <x v="1"/>
    <s v="DB-13210"/>
    <s v="Dean Braden"/>
    <x v="0"/>
    <s v="United States"/>
    <x v="3"/>
    <x v="3"/>
    <x v="2"/>
    <s v="FUR-CH-10000309"/>
    <x v="0"/>
    <x v="1"/>
    <s v="Global Comet Stacking Arm Chair"/>
    <n v="887.27099999999996"/>
    <n v="3"/>
    <n v="-63.3765"/>
    <x v="4"/>
    <x v="4"/>
  </r>
  <r>
    <s v="CA-2016-101791"/>
    <x v="614"/>
    <d v="2016-05-31T00:00:00"/>
    <x v="1"/>
    <s v="BS-11665"/>
    <s v="Brian Stugart"/>
    <x v="0"/>
    <s v="United States"/>
    <x v="9"/>
    <x v="8"/>
    <x v="3"/>
    <s v="FUR-FU-10003247"/>
    <x v="0"/>
    <x v="3"/>
    <s v="36X48 HARDFLOOR CHAIRMAT"/>
    <n v="25.175999999999998"/>
    <n v="3"/>
    <n v="-33.358199999999997"/>
    <x v="4"/>
    <x v="7"/>
  </r>
  <r>
    <s v="CA-2016-101791"/>
    <x v="614"/>
    <d v="2016-05-31T00:00:00"/>
    <x v="1"/>
    <s v="BS-11665"/>
    <s v="Brian Stugart"/>
    <x v="0"/>
    <s v="United States"/>
    <x v="9"/>
    <x v="8"/>
    <x v="3"/>
    <s v="FUR-FU-10002191"/>
    <x v="0"/>
    <x v="3"/>
    <s v="G.E. Halogen Desk Lamp Bulbs"/>
    <n v="5.5839999999999996"/>
    <n v="2"/>
    <n v="-1.6752"/>
    <x v="4"/>
    <x v="7"/>
  </r>
  <r>
    <s v="CA-2015-113740"/>
    <x v="108"/>
    <d v="2015-08-28T00:00:00"/>
    <x v="0"/>
    <s v="SC-20380"/>
    <s v="Shahid Collister"/>
    <x v="0"/>
    <s v="United States"/>
    <x v="13"/>
    <x v="7"/>
    <x v="2"/>
    <s v="FUR-FU-10000010"/>
    <x v="0"/>
    <x v="3"/>
    <s v="DAX Value U-Channel Document Frames, Easel Back"/>
    <n v="14.91"/>
    <n v="3"/>
    <n v="4.6220999999999997"/>
    <x v="4"/>
    <x v="10"/>
  </r>
  <r>
    <s v="CA-2017-151225"/>
    <x v="526"/>
    <d v="2017-10-29T00:00:00"/>
    <x v="2"/>
    <s v="JM-15655"/>
    <s v="Jim Mitchum"/>
    <x v="1"/>
    <s v="United States"/>
    <x v="2"/>
    <x v="2"/>
    <x v="1"/>
    <s v="FUR-TA-10001539"/>
    <x v="0"/>
    <x v="2"/>
    <s v="Chromcraft Rectangular Conference Tables"/>
    <n v="189.57599999999999"/>
    <n v="1"/>
    <n v="9.4787999999999997"/>
    <x v="3"/>
    <x v="1"/>
  </r>
  <r>
    <s v="US-2014-144078"/>
    <x v="306"/>
    <d v="2014-11-29T00:00:00"/>
    <x v="1"/>
    <s v="RB-19435"/>
    <s v="Richard Bierner"/>
    <x v="0"/>
    <s v="United States"/>
    <x v="2"/>
    <x v="2"/>
    <x v="1"/>
    <s v="FUR-CH-10002335"/>
    <x v="0"/>
    <x v="1"/>
    <s v="Hon GuestStacker Chair"/>
    <n v="725.34400000000005"/>
    <n v="4"/>
    <n v="54.400799999999997"/>
    <x v="4"/>
    <x v="0"/>
  </r>
  <r>
    <s v="CA-2015-136805"/>
    <x v="773"/>
    <d v="2015-05-27T00:00:00"/>
    <x v="0"/>
    <s v="NM-18445"/>
    <s v="Nathan Mautz"/>
    <x v="2"/>
    <s v="United States"/>
    <x v="25"/>
    <x v="17"/>
    <x v="3"/>
    <s v="FUR-FU-10003724"/>
    <x v="0"/>
    <x v="3"/>
    <s v="Westinghouse Clip-On Gooseneck Lamps"/>
    <n v="75.33"/>
    <n v="9"/>
    <n v="19.585799999999999"/>
    <x v="4"/>
    <x v="7"/>
  </r>
  <r>
    <s v="CA-2014-162089"/>
    <x v="693"/>
    <d v="2014-04-01T00:00:00"/>
    <x v="2"/>
    <s v="MP-17470"/>
    <s v="Mark Packer"/>
    <x v="2"/>
    <s v="United States"/>
    <x v="193"/>
    <x v="5"/>
    <x v="3"/>
    <s v="FUR-CH-10002304"/>
    <x v="0"/>
    <x v="1"/>
    <s v="Global Stack Chair without Arms, Black"/>
    <n v="127.30200000000001"/>
    <n v="7"/>
    <n v="-9.093"/>
    <x v="3"/>
    <x v="9"/>
  </r>
  <r>
    <s v="US-2017-158526"/>
    <x v="297"/>
    <d v="2018-01-01T00:00:00"/>
    <x v="0"/>
    <s v="KH-16360"/>
    <s v="Katherine Hughes"/>
    <x v="0"/>
    <s v="United States"/>
    <x v="74"/>
    <x v="0"/>
    <x v="0"/>
    <s v="FUR-CH-10002602"/>
    <x v="0"/>
    <x v="1"/>
    <s v="DMI Arturo Collection Mission-style Design Wood Chair"/>
    <n v="1207.8399999999999"/>
    <n v="8"/>
    <n v="314.03840000000002"/>
    <x v="0"/>
    <x v="5"/>
  </r>
  <r>
    <s v="US-2017-158526"/>
    <x v="297"/>
    <d v="2018-01-01T00:00:00"/>
    <x v="0"/>
    <s v="KH-16360"/>
    <s v="Katherine Hughes"/>
    <x v="0"/>
    <s v="United States"/>
    <x v="74"/>
    <x v="0"/>
    <x v="0"/>
    <s v="FUR-CH-10004495"/>
    <x v="0"/>
    <x v="1"/>
    <s v="Global Leather and Oak Executive Chair, Black"/>
    <n v="300.98"/>
    <n v="1"/>
    <n v="87.284199999999998"/>
    <x v="0"/>
    <x v="5"/>
  </r>
  <r>
    <s v="US-2017-158526"/>
    <x v="297"/>
    <d v="2018-01-01T00:00:00"/>
    <x v="0"/>
    <s v="KH-16360"/>
    <s v="Katherine Hughes"/>
    <x v="0"/>
    <s v="United States"/>
    <x v="74"/>
    <x v="0"/>
    <x v="0"/>
    <s v="FUR-CH-10001270"/>
    <x v="0"/>
    <x v="1"/>
    <s v="Harbour Creations Steel Folding Chair"/>
    <n v="258.75"/>
    <n v="3"/>
    <n v="77.625"/>
    <x v="0"/>
    <x v="5"/>
  </r>
  <r>
    <s v="CA-2017-104885"/>
    <x v="774"/>
    <d v="2017-03-08T00:00:00"/>
    <x v="1"/>
    <s v="DB-13555"/>
    <s v="Dorothy Badders"/>
    <x v="1"/>
    <s v="United States"/>
    <x v="19"/>
    <x v="14"/>
    <x v="2"/>
    <s v="FUR-BO-10003660"/>
    <x v="0"/>
    <x v="0"/>
    <s v="Bush Cubix Collection Bookcases, Fully Assembled"/>
    <n v="441.96"/>
    <n v="2"/>
    <n v="101.6508"/>
    <x v="6"/>
    <x v="9"/>
  </r>
  <r>
    <s v="CA-2015-161452"/>
    <x v="509"/>
    <d v="2015-04-11T00:00:00"/>
    <x v="1"/>
    <s v="CA-11965"/>
    <s v="Carol Adams"/>
    <x v="1"/>
    <s v="United States"/>
    <x v="2"/>
    <x v="2"/>
    <x v="1"/>
    <s v="FUR-CH-10003973"/>
    <x v="0"/>
    <x v="1"/>
    <s v="GuestStacker Chair with Chrome Finish Legs"/>
    <n v="892.22400000000005"/>
    <n v="3"/>
    <n v="89.222399999999993"/>
    <x v="6"/>
    <x v="6"/>
  </r>
  <r>
    <s v="CA-2016-138968"/>
    <x v="775"/>
    <d v="2016-03-16T00:00:00"/>
    <x v="2"/>
    <s v="FC-14335"/>
    <s v="Fred Chung"/>
    <x v="1"/>
    <s v="United States"/>
    <x v="28"/>
    <x v="2"/>
    <x v="1"/>
    <s v="FUR-CH-10000309"/>
    <x v="0"/>
    <x v="1"/>
    <s v="Global Comet Stacking Arm Chair"/>
    <n v="1352.0319999999999"/>
    <n v="4"/>
    <n v="84.501999999999995"/>
    <x v="5"/>
    <x v="9"/>
  </r>
  <r>
    <s v="CA-2015-101889"/>
    <x v="7"/>
    <d v="2015-12-31T00:00:00"/>
    <x v="1"/>
    <s v="DB-13120"/>
    <s v="David Bremer"/>
    <x v="1"/>
    <s v="United States"/>
    <x v="149"/>
    <x v="15"/>
    <x v="2"/>
    <s v="FUR-TA-10004154"/>
    <x v="0"/>
    <x v="2"/>
    <s v="Riverside Furniture Oval Coffee Table, Oval End Table, End Table with Drawer"/>
    <n v="1548.99"/>
    <n v="9"/>
    <n v="-464.697"/>
    <x v="4"/>
    <x v="5"/>
  </r>
  <r>
    <s v="CA-2015-107685"/>
    <x v="737"/>
    <d v="2015-12-02T00:00:00"/>
    <x v="0"/>
    <s v="JM-15865"/>
    <s v="John Murray"/>
    <x v="0"/>
    <s v="United States"/>
    <x v="205"/>
    <x v="34"/>
    <x v="1"/>
    <s v="FUR-FU-10002813"/>
    <x v="0"/>
    <x v="3"/>
    <s v="DAX Contemporary Wood Frame with Silver Metal Mat, Desktop, 11 x 14 Size"/>
    <n v="80.959999999999994"/>
    <n v="4"/>
    <n v="29.145600000000002"/>
    <x v="3"/>
    <x v="0"/>
  </r>
  <r>
    <s v="US-2014-120740"/>
    <x v="776"/>
    <d v="2014-04-15T00:00:00"/>
    <x v="3"/>
    <s v="PS-18970"/>
    <s v="Paul Stevenson"/>
    <x v="2"/>
    <s v="United States"/>
    <x v="2"/>
    <x v="2"/>
    <x v="1"/>
    <s v="FUR-FU-10004091"/>
    <x v="0"/>
    <x v="3"/>
    <s v="Howard Miller 13&quot; Diameter Goldtone Round Wall Clock"/>
    <n v="187.76"/>
    <n v="4"/>
    <n v="76.9816"/>
    <x v="7"/>
    <x v="6"/>
  </r>
  <r>
    <s v="CA-2014-105417"/>
    <x v="777"/>
    <d v="2014-01-12T00:00:00"/>
    <x v="1"/>
    <s v="VS-21820"/>
    <s v="Vivek Sundaresam"/>
    <x v="0"/>
    <s v="United States"/>
    <x v="156"/>
    <x v="5"/>
    <x v="3"/>
    <s v="FUR-FU-10004864"/>
    <x v="0"/>
    <x v="3"/>
    <s v="Howard Miller 14-1/2&quot; Diameter Chrome Round Wall Clock"/>
    <n v="76.727999999999994"/>
    <n v="3"/>
    <n v="-53.709600000000002"/>
    <x v="2"/>
    <x v="8"/>
  </r>
  <r>
    <s v="CA-2014-151967"/>
    <x v="27"/>
    <d v="2014-10-26T00:00:00"/>
    <x v="1"/>
    <s v="NB-18580"/>
    <s v="Nicole Brennan"/>
    <x v="1"/>
    <s v="United States"/>
    <x v="331"/>
    <x v="35"/>
    <x v="0"/>
    <s v="FUR-FU-10000193"/>
    <x v="0"/>
    <x v="3"/>
    <s v="Tenex Chairmats For Use with Hard Floors"/>
    <n v="129.91999999999999"/>
    <n v="4"/>
    <n v="10.393599999999999"/>
    <x v="4"/>
    <x v="1"/>
  </r>
  <r>
    <s v="CA-2015-130974"/>
    <x v="61"/>
    <d v="2015-11-29T00:00:00"/>
    <x v="0"/>
    <s v="MA-17560"/>
    <s v="Matt Abelman"/>
    <x v="2"/>
    <s v="United States"/>
    <x v="114"/>
    <x v="20"/>
    <x v="2"/>
    <s v="FUR-BO-10002916"/>
    <x v="0"/>
    <x v="0"/>
    <s v="Rush Hierlooms Collection 1&quot; Thick Stackable Bookcases"/>
    <n v="170.98"/>
    <n v="1"/>
    <n v="32.486199999999997"/>
    <x v="3"/>
    <x v="0"/>
  </r>
  <r>
    <s v="CA-2015-130974"/>
    <x v="61"/>
    <d v="2015-11-29T00:00:00"/>
    <x v="0"/>
    <s v="MA-17560"/>
    <s v="Matt Abelman"/>
    <x v="2"/>
    <s v="United States"/>
    <x v="114"/>
    <x v="20"/>
    <x v="2"/>
    <s v="FUR-FU-10002506"/>
    <x v="0"/>
    <x v="3"/>
    <s v="Tensor &quot;Hersey Kiss&quot; Styled Floor Lamp"/>
    <n v="38.97"/>
    <n v="3"/>
    <n v="4.6764000000000001"/>
    <x v="3"/>
    <x v="0"/>
  </r>
  <r>
    <s v="CA-2015-130974"/>
    <x v="61"/>
    <d v="2015-11-29T00:00:00"/>
    <x v="0"/>
    <s v="MA-17560"/>
    <s v="Matt Abelman"/>
    <x v="2"/>
    <s v="United States"/>
    <x v="114"/>
    <x v="20"/>
    <x v="2"/>
    <s v="FUR-TA-10004619"/>
    <x v="0"/>
    <x v="2"/>
    <s v="Hon Non-Folding Utility Tables"/>
    <n v="446.06799999999998"/>
    <n v="4"/>
    <n v="0"/>
    <x v="3"/>
    <x v="0"/>
  </r>
  <r>
    <s v="CA-2014-133592"/>
    <x v="252"/>
    <d v="2015-01-07T00:00:00"/>
    <x v="1"/>
    <s v="KM-16375"/>
    <s v="Katherine Murray"/>
    <x v="2"/>
    <s v="United States"/>
    <x v="134"/>
    <x v="38"/>
    <x v="2"/>
    <s v="FUR-BO-10000362"/>
    <x v="0"/>
    <x v="0"/>
    <s v="Sauder Inglewood Library Bookcases"/>
    <n v="341.96"/>
    <n v="2"/>
    <n v="78.650800000000004"/>
    <x v="1"/>
    <x v="5"/>
  </r>
  <r>
    <s v="CA-2014-133592"/>
    <x v="252"/>
    <d v="2015-01-07T00:00:00"/>
    <x v="1"/>
    <s v="KM-16375"/>
    <s v="Katherine Murray"/>
    <x v="2"/>
    <s v="United States"/>
    <x v="134"/>
    <x v="38"/>
    <x v="2"/>
    <s v="FUR-CH-10004218"/>
    <x v="0"/>
    <x v="1"/>
    <s v="Global Fabric Manager's Chair, Dark Gray"/>
    <n v="605.88"/>
    <n v="6"/>
    <n v="151.47"/>
    <x v="1"/>
    <x v="5"/>
  </r>
  <r>
    <s v="CA-2016-169838"/>
    <x v="778"/>
    <d v="2016-11-29T00:00:00"/>
    <x v="1"/>
    <s v="BB-11545"/>
    <s v="Brenda Bowman"/>
    <x v="1"/>
    <s v="United States"/>
    <x v="38"/>
    <x v="17"/>
    <x v="3"/>
    <s v="FUR-TA-10001095"/>
    <x v="0"/>
    <x v="2"/>
    <s v="Chromcraft Round Conference Tables"/>
    <n v="1568.61"/>
    <n v="9"/>
    <n v="329.40809999999999"/>
    <x v="4"/>
    <x v="0"/>
  </r>
  <r>
    <s v="US-2017-128951"/>
    <x v="316"/>
    <d v="2017-07-17T00:00:00"/>
    <x v="2"/>
    <s v="RS-19420"/>
    <s v="Ricardo Sperren"/>
    <x v="1"/>
    <s v="United States"/>
    <x v="122"/>
    <x v="25"/>
    <x v="0"/>
    <s v="FUR-TA-10004575"/>
    <x v="0"/>
    <x v="2"/>
    <s v="Hon 5100 Series Wood Tables"/>
    <n v="872.94"/>
    <n v="3"/>
    <n v="157.1292"/>
    <x v="3"/>
    <x v="3"/>
  </r>
  <r>
    <s v="CA-2016-118899"/>
    <x v="779"/>
    <d v="2016-03-22T00:00:00"/>
    <x v="3"/>
    <s v="MC-17275"/>
    <s v="Marc Crier"/>
    <x v="0"/>
    <s v="United States"/>
    <x v="15"/>
    <x v="13"/>
    <x v="1"/>
    <s v="FUR-CH-10004754"/>
    <x v="0"/>
    <x v="1"/>
    <s v="Global Stack Chair with Arms, Black"/>
    <n v="167.88800000000001"/>
    <n v="7"/>
    <n v="14.690200000000001"/>
    <x v="7"/>
    <x v="9"/>
  </r>
  <r>
    <s v="CA-2017-151799"/>
    <x v="417"/>
    <d v="2017-12-18T00:00:00"/>
    <x v="1"/>
    <s v="BF-11170"/>
    <s v="Ben Ferrer"/>
    <x v="2"/>
    <s v="United States"/>
    <x v="37"/>
    <x v="20"/>
    <x v="2"/>
    <s v="FUR-TA-10003473"/>
    <x v="0"/>
    <x v="2"/>
    <s v="Bretford Rectangular Conference Table Tops"/>
    <n v="526.58199999999999"/>
    <n v="2"/>
    <n v="-52.658200000000001"/>
    <x v="4"/>
    <x v="5"/>
  </r>
  <r>
    <s v="CA-2016-114601"/>
    <x v="238"/>
    <d v="2016-09-02T00:00:00"/>
    <x v="1"/>
    <s v="AA-10480"/>
    <s v="Andrew Allen"/>
    <x v="0"/>
    <s v="United States"/>
    <x v="25"/>
    <x v="17"/>
    <x v="3"/>
    <s v="FUR-TA-10004147"/>
    <x v="0"/>
    <x v="2"/>
    <s v="Hon 4060 Series Tables"/>
    <n v="447.84"/>
    <n v="4"/>
    <n v="98.524799999999999"/>
    <x v="1"/>
    <x v="10"/>
  </r>
  <r>
    <s v="CA-2017-139353"/>
    <x v="780"/>
    <d v="2017-10-30T00:00:00"/>
    <x v="0"/>
    <s v="JM-15250"/>
    <s v="Janet Martin"/>
    <x v="0"/>
    <s v="United States"/>
    <x v="160"/>
    <x v="30"/>
    <x v="0"/>
    <s v="FUR-FU-10001876"/>
    <x v="0"/>
    <x v="3"/>
    <s v="Computer Room Manger, 14&quot;"/>
    <n v="77.951999999999998"/>
    <n v="3"/>
    <n v="15.590400000000001"/>
    <x v="3"/>
    <x v="1"/>
  </r>
  <r>
    <s v="CA-2015-139374"/>
    <x v="468"/>
    <d v="2015-09-14T00:00:00"/>
    <x v="1"/>
    <s v="AR-10345"/>
    <s v="Alex Russell"/>
    <x v="1"/>
    <s v="United States"/>
    <x v="198"/>
    <x v="5"/>
    <x v="3"/>
    <s v="FUR-CH-10003981"/>
    <x v="0"/>
    <x v="1"/>
    <s v="Global Commerce Series Low-Back Swivel/Tilt Chairs"/>
    <n v="179.886"/>
    <n v="1"/>
    <n v="-2.5697999999999999"/>
    <x v="4"/>
    <x v="4"/>
  </r>
  <r>
    <s v="CA-2017-104850"/>
    <x v="234"/>
    <d v="2017-06-19T00:00:00"/>
    <x v="1"/>
    <s v="TW-21025"/>
    <s v="Tamara Willingham"/>
    <x v="2"/>
    <s v="United States"/>
    <x v="15"/>
    <x v="13"/>
    <x v="1"/>
    <s v="FUR-CH-10003774"/>
    <x v="0"/>
    <x v="1"/>
    <s v="Global Wood Trimmed Manager's Task Chair, Khaki"/>
    <n v="291.13600000000002"/>
    <n v="4"/>
    <n v="-25.474399999999999"/>
    <x v="6"/>
    <x v="2"/>
  </r>
  <r>
    <s v="CA-2015-133242"/>
    <x v="311"/>
    <d v="2015-06-24T00:00:00"/>
    <x v="1"/>
    <s v="KH-16510"/>
    <s v="Keith Herrera"/>
    <x v="0"/>
    <s v="United States"/>
    <x v="58"/>
    <x v="25"/>
    <x v="0"/>
    <s v="FUR-FU-10003464"/>
    <x v="0"/>
    <x v="3"/>
    <s v="Seth Thomas 8 1/2&quot; Cubicle Clock"/>
    <n v="60.84"/>
    <n v="3"/>
    <n v="19.468800000000002"/>
    <x v="6"/>
    <x v="2"/>
  </r>
  <r>
    <s v="CA-2015-158323"/>
    <x v="737"/>
    <d v="2015-12-03T00:00:00"/>
    <x v="2"/>
    <s v="AB-10600"/>
    <s v="Ann Blume"/>
    <x v="1"/>
    <s v="United States"/>
    <x v="51"/>
    <x v="30"/>
    <x v="0"/>
    <s v="FUR-FU-10001546"/>
    <x v="0"/>
    <x v="3"/>
    <s v="Dana Swing-Arm Lamps"/>
    <n v="17.088000000000001"/>
    <n v="2"/>
    <n v="1.0680000000000001"/>
    <x v="0"/>
    <x v="0"/>
  </r>
  <r>
    <s v="CA-2017-112844"/>
    <x v="596"/>
    <d v="2017-11-16T00:00:00"/>
    <x v="0"/>
    <s v="SP-20620"/>
    <s v="Stefania Perrino"/>
    <x v="1"/>
    <s v="United States"/>
    <x v="252"/>
    <x v="7"/>
    <x v="2"/>
    <s v="FUR-FU-10004845"/>
    <x v="0"/>
    <x v="3"/>
    <s v="Deflect-o EconoMat Nonstudded, No Bevel Mat"/>
    <n v="154.94999999999999"/>
    <n v="3"/>
    <n v="30.99"/>
    <x v="0"/>
    <x v="0"/>
  </r>
  <r>
    <s v="US-2017-118941"/>
    <x v="661"/>
    <d v="2017-08-12T00:00:00"/>
    <x v="3"/>
    <s v="BB-11545"/>
    <s v="Brenda Bowman"/>
    <x v="1"/>
    <s v="United States"/>
    <x v="11"/>
    <x v="32"/>
    <x v="2"/>
    <s v="FUR-CH-10002331"/>
    <x v="0"/>
    <x v="1"/>
    <s v="Hon 4700 Series Mobuis Mid-Back Task Chairs with Adjustable Arms"/>
    <n v="1779.9"/>
    <n v="5"/>
    <n v="373.779"/>
    <x v="7"/>
    <x v="10"/>
  </r>
  <r>
    <s v="CA-2016-162236"/>
    <x v="114"/>
    <d v="2016-11-06T00:00:00"/>
    <x v="0"/>
    <s v="ER-13855"/>
    <s v="Elpida Rittenbach"/>
    <x v="1"/>
    <s v="United States"/>
    <x v="127"/>
    <x v="30"/>
    <x v="0"/>
    <s v="FUR-TA-10002533"/>
    <x v="0"/>
    <x v="2"/>
    <s v="BPI Conference Tables"/>
    <n v="876.3"/>
    <n v="10"/>
    <n v="-292.10000000000002"/>
    <x v="3"/>
    <x v="0"/>
  </r>
  <r>
    <s v="US-2016-117037"/>
    <x v="586"/>
    <d v="2016-05-20T00:00:00"/>
    <x v="2"/>
    <s v="LW-17215"/>
    <s v="Luke Weiss"/>
    <x v="0"/>
    <s v="United States"/>
    <x v="9"/>
    <x v="8"/>
    <x v="3"/>
    <s v="FUR-FU-10004973"/>
    <x v="0"/>
    <x v="3"/>
    <s v="Flat Face Poster Frame"/>
    <n v="22.608000000000001"/>
    <n v="3"/>
    <n v="-10.1736"/>
    <x v="0"/>
    <x v="7"/>
  </r>
  <r>
    <s v="CA-2017-166184"/>
    <x v="781"/>
    <d v="2017-03-27T00:00:00"/>
    <x v="2"/>
    <s v="HR-14830"/>
    <s v="Harold Ryan"/>
    <x v="1"/>
    <s v="United States"/>
    <x v="13"/>
    <x v="7"/>
    <x v="2"/>
    <s v="FUR-CH-10003396"/>
    <x v="0"/>
    <x v="1"/>
    <s v="Global Deluxe Steno Chair"/>
    <n v="207.846"/>
    <n v="3"/>
    <n v="2.3094000000000001"/>
    <x v="0"/>
    <x v="9"/>
  </r>
  <r>
    <s v="CA-2014-143637"/>
    <x v="782"/>
    <d v="2014-03-29T00:00:00"/>
    <x v="0"/>
    <s v="MS-17710"/>
    <s v="Maurice Satty"/>
    <x v="0"/>
    <s v="United States"/>
    <x v="99"/>
    <x v="2"/>
    <x v="1"/>
    <s v="FUR-FU-10002813"/>
    <x v="0"/>
    <x v="3"/>
    <s v="DAX Contemporary Wood Frame with Silver Metal Mat, Desktop, 11 x 14 Size"/>
    <n v="40.479999999999997"/>
    <n v="2"/>
    <n v="14.572800000000001"/>
    <x v="2"/>
    <x v="9"/>
  </r>
  <r>
    <s v="CA-2016-134334"/>
    <x v="783"/>
    <d v="2016-02-15T00:00:00"/>
    <x v="2"/>
    <s v="DK-13090"/>
    <s v="Dave Kipp"/>
    <x v="0"/>
    <s v="United States"/>
    <x v="218"/>
    <x v="32"/>
    <x v="2"/>
    <s v="FUR-TA-10002356"/>
    <x v="0"/>
    <x v="2"/>
    <s v="Bevis Boat-Shaped Conference Table"/>
    <n v="550.43100000000004"/>
    <n v="3"/>
    <n v="-47.1798"/>
    <x v="5"/>
    <x v="11"/>
  </r>
  <r>
    <s v="CA-2016-134334"/>
    <x v="783"/>
    <d v="2016-02-15T00:00:00"/>
    <x v="2"/>
    <s v="DK-13090"/>
    <s v="Dave Kipp"/>
    <x v="0"/>
    <s v="United States"/>
    <x v="218"/>
    <x v="32"/>
    <x v="2"/>
    <s v="FUR-FU-10003274"/>
    <x v="0"/>
    <x v="3"/>
    <s v="Regeneration Desk Collection"/>
    <n v="10.56"/>
    <n v="6"/>
    <n v="4.6463999999999999"/>
    <x v="5"/>
    <x v="11"/>
  </r>
  <r>
    <s v="US-2017-109316"/>
    <x v="784"/>
    <d v="2017-06-10T00:00:00"/>
    <x v="2"/>
    <s v="MG-17680"/>
    <s v="Maureen Gastineau"/>
    <x v="2"/>
    <s v="United States"/>
    <x v="2"/>
    <x v="2"/>
    <x v="1"/>
    <s v="FUR-BO-10004834"/>
    <x v="0"/>
    <x v="0"/>
    <s v="Riverside Palais Royal Lawyers Bookcase, Royale Cherry Finish"/>
    <n v="1497.6659999999999"/>
    <n v="2"/>
    <n v="140.95679999999999"/>
    <x v="3"/>
    <x v="2"/>
  </r>
  <r>
    <s v="CA-2014-125150"/>
    <x v="785"/>
    <d v="2014-05-23T00:00:00"/>
    <x v="1"/>
    <s v="PW-19030"/>
    <s v="Pauline Webber"/>
    <x v="1"/>
    <s v="United States"/>
    <x v="2"/>
    <x v="2"/>
    <x v="1"/>
    <s v="FUR-CH-10002439"/>
    <x v="0"/>
    <x v="1"/>
    <s v="Iceberg Nesting Folding Chair, 19w x 6d x 43h"/>
    <n v="232.88"/>
    <n v="5"/>
    <n v="17.466000000000001"/>
    <x v="1"/>
    <x v="7"/>
  </r>
  <r>
    <s v="CA-2015-127327"/>
    <x v="136"/>
    <d v="2015-02-07T00:00:00"/>
    <x v="1"/>
    <s v="PW-19030"/>
    <s v="Pauline Webber"/>
    <x v="1"/>
    <s v="United States"/>
    <x v="248"/>
    <x v="7"/>
    <x v="2"/>
    <s v="FUR-CH-10004218"/>
    <x v="0"/>
    <x v="1"/>
    <s v="Global Fabric Manager's Chair, Dark Gray"/>
    <n v="90.882000000000005"/>
    <n v="1"/>
    <n v="15.147"/>
    <x v="4"/>
    <x v="11"/>
  </r>
  <r>
    <s v="CA-2015-137302"/>
    <x v="12"/>
    <d v="2015-05-01T00:00:00"/>
    <x v="1"/>
    <s v="BW-11110"/>
    <s v="Bart Watters"/>
    <x v="1"/>
    <s v="United States"/>
    <x v="53"/>
    <x v="2"/>
    <x v="1"/>
    <s v="FUR-CH-10002017"/>
    <x v="0"/>
    <x v="1"/>
    <s v="SAFCO Optional Arm Kit for Workspace Cribbage Stacking Chair"/>
    <n v="63.936"/>
    <n v="3"/>
    <n v="6.3936000000000002"/>
    <x v="2"/>
    <x v="6"/>
  </r>
  <r>
    <s v="CA-2015-106257"/>
    <x v="315"/>
    <d v="2015-04-17T00:00:00"/>
    <x v="0"/>
    <s v="EB-14110"/>
    <s v="Eugene Barchas"/>
    <x v="0"/>
    <s v="United States"/>
    <x v="2"/>
    <x v="2"/>
    <x v="1"/>
    <s v="FUR-TA-10002530"/>
    <x v="0"/>
    <x v="2"/>
    <s v="Iceberg OfficeWorks 42&quot; Round Tables"/>
    <n v="241.56800000000001"/>
    <n v="2"/>
    <n v="-15.098000000000001"/>
    <x v="4"/>
    <x v="6"/>
  </r>
  <r>
    <s v="CA-2015-149083"/>
    <x v="4"/>
    <d v="2015-09-30T00:00:00"/>
    <x v="1"/>
    <s v="SH-19975"/>
    <s v="Sally Hughsby"/>
    <x v="1"/>
    <s v="United States"/>
    <x v="15"/>
    <x v="13"/>
    <x v="1"/>
    <s v="FUR-CH-10004289"/>
    <x v="0"/>
    <x v="1"/>
    <s v="Global Super Steno Chair"/>
    <n v="307.13600000000002"/>
    <n v="4"/>
    <n v="-11.5176"/>
    <x v="2"/>
    <x v="4"/>
  </r>
  <r>
    <s v="US-2014-137869"/>
    <x v="786"/>
    <d v="2014-04-02T00:00:00"/>
    <x v="1"/>
    <s v="CV-12295"/>
    <s v="Christina VanderZanden"/>
    <x v="0"/>
    <s v="United States"/>
    <x v="67"/>
    <x v="26"/>
    <x v="3"/>
    <s v="FUR-TA-10003954"/>
    <x v="0"/>
    <x v="2"/>
    <s v="Hon 94000 Series Round Tables"/>
    <n v="1184.72"/>
    <n v="4"/>
    <n v="106.62479999999999"/>
    <x v="2"/>
    <x v="9"/>
  </r>
  <r>
    <s v="US-2017-123834"/>
    <x v="720"/>
    <d v="2017-07-25T00:00:00"/>
    <x v="1"/>
    <s v="GM-14500"/>
    <s v="Gene McClure"/>
    <x v="0"/>
    <s v="United States"/>
    <x v="191"/>
    <x v="5"/>
    <x v="3"/>
    <s v="FUR-TA-10001676"/>
    <x v="0"/>
    <x v="2"/>
    <s v="Hon 61000 Series Interactive Training Tables"/>
    <n v="124.404"/>
    <n v="4"/>
    <n v="-21.3264"/>
    <x v="4"/>
    <x v="3"/>
  </r>
  <r>
    <s v="CA-2016-128706"/>
    <x v="787"/>
    <d v="2016-03-02T00:00:00"/>
    <x v="1"/>
    <s v="DW-13540"/>
    <s v="Don Weiss"/>
    <x v="0"/>
    <s v="United States"/>
    <x v="6"/>
    <x v="5"/>
    <x v="3"/>
    <s v="FUR-FU-10004053"/>
    <x v="0"/>
    <x v="3"/>
    <s v="DAX Two-Tone Silver Metal Document Frame"/>
    <n v="16.192"/>
    <n v="2"/>
    <n v="-6.8815999999999997"/>
    <x v="4"/>
    <x v="11"/>
  </r>
  <r>
    <s v="CA-2015-143364"/>
    <x v="788"/>
    <d v="2015-07-19T00:00:00"/>
    <x v="0"/>
    <s v="TG-21310"/>
    <s v="Toby Gnade"/>
    <x v="0"/>
    <s v="United States"/>
    <x v="81"/>
    <x v="22"/>
    <x v="1"/>
    <s v="FUR-CH-10004287"/>
    <x v="0"/>
    <x v="1"/>
    <s v="SAFCO Arco Folding Chair"/>
    <n v="441.92"/>
    <n v="2"/>
    <n v="49.716000000000001"/>
    <x v="2"/>
    <x v="3"/>
  </r>
  <r>
    <s v="CA-2015-143364"/>
    <x v="788"/>
    <d v="2015-07-19T00:00:00"/>
    <x v="0"/>
    <s v="TG-21310"/>
    <s v="Toby Gnade"/>
    <x v="0"/>
    <s v="United States"/>
    <x v="81"/>
    <x v="22"/>
    <x v="1"/>
    <s v="FUR-BO-10001608"/>
    <x v="0"/>
    <x v="0"/>
    <s v="Hon Metal Bookcases, Black"/>
    <n v="127.764"/>
    <n v="6"/>
    <n v="-191.64599999999999"/>
    <x v="2"/>
    <x v="3"/>
  </r>
  <r>
    <s v="CA-2016-101672"/>
    <x v="162"/>
    <d v="2016-10-07T00:00:00"/>
    <x v="1"/>
    <s v="DB-12910"/>
    <s v="Daniel Byrd"/>
    <x v="2"/>
    <s v="United States"/>
    <x v="284"/>
    <x v="2"/>
    <x v="1"/>
    <s v="FUR-CH-10004063"/>
    <x v="0"/>
    <x v="1"/>
    <s v="Global Deluxe High-Back Manager's Chair"/>
    <n v="915.13599999999997"/>
    <n v="4"/>
    <n v="102.9528"/>
    <x v="4"/>
    <x v="1"/>
  </r>
  <r>
    <s v="CA-2016-160241"/>
    <x v="789"/>
    <d v="2016-12-04T00:00:00"/>
    <x v="0"/>
    <s v="DR-12940"/>
    <s v="Daniel Raglin"/>
    <x v="2"/>
    <s v="United States"/>
    <x v="14"/>
    <x v="8"/>
    <x v="3"/>
    <s v="FUR-FU-10003806"/>
    <x v="0"/>
    <x v="3"/>
    <s v="Tenex Chairmat w/ Average Lip, 45&quot; x 53&quot;"/>
    <n v="242.17599999999999"/>
    <n v="4"/>
    <n v="-302.72000000000003"/>
    <x v="2"/>
    <x v="0"/>
  </r>
  <r>
    <s v="CA-2016-155747"/>
    <x v="184"/>
    <d v="2016-06-21T00:00:00"/>
    <x v="1"/>
    <s v="JS-15685"/>
    <s v="Jim Sink"/>
    <x v="1"/>
    <s v="United States"/>
    <x v="3"/>
    <x v="3"/>
    <x v="2"/>
    <s v="FUR-TA-10003392"/>
    <x v="0"/>
    <x v="2"/>
    <s v="Global Adaptabilities Conference Tables"/>
    <n v="337.17599999999999"/>
    <n v="2"/>
    <n v="-118.0116"/>
    <x v="1"/>
    <x v="2"/>
  </r>
  <r>
    <s v="CA-2017-118017"/>
    <x v="587"/>
    <d v="2017-12-06T00:00:00"/>
    <x v="0"/>
    <s v="LC-16870"/>
    <s v="Lena Cacioppo"/>
    <x v="0"/>
    <s v="United States"/>
    <x v="332"/>
    <x v="12"/>
    <x v="1"/>
    <s v="FUR-FU-10004351"/>
    <x v="0"/>
    <x v="3"/>
    <s v="Staple-based wall hangings"/>
    <n v="23.376000000000001"/>
    <n v="3"/>
    <n v="7.0128000000000004"/>
    <x v="0"/>
    <x v="5"/>
  </r>
  <r>
    <s v="CA-2017-118017"/>
    <x v="587"/>
    <d v="2017-12-06T00:00:00"/>
    <x v="0"/>
    <s v="LC-16870"/>
    <s v="Lena Cacioppo"/>
    <x v="0"/>
    <s v="United States"/>
    <x v="332"/>
    <x v="12"/>
    <x v="1"/>
    <s v="FUR-FU-10004270"/>
    <x v="0"/>
    <x v="3"/>
    <s v="Eldon Image Series Desk Accessories, Burgundy"/>
    <n v="16.72"/>
    <n v="5"/>
    <n v="3.3439999999999999"/>
    <x v="0"/>
    <x v="5"/>
  </r>
  <r>
    <s v="CA-2017-118017"/>
    <x v="587"/>
    <d v="2017-12-06T00:00:00"/>
    <x v="0"/>
    <s v="LC-16870"/>
    <s v="Lena Cacioppo"/>
    <x v="0"/>
    <s v="United States"/>
    <x v="332"/>
    <x v="12"/>
    <x v="1"/>
    <s v="FUR-FU-10004053"/>
    <x v="0"/>
    <x v="3"/>
    <s v="DAX Two-Tone Silver Metal Document Frame"/>
    <n v="16.192"/>
    <n v="1"/>
    <n v="4.6551999999999998"/>
    <x v="0"/>
    <x v="5"/>
  </r>
  <r>
    <s v="CA-2016-148684"/>
    <x v="683"/>
    <d v="2016-12-29T00:00:00"/>
    <x v="1"/>
    <s v="TS-21655"/>
    <s v="Trudy Schmidt"/>
    <x v="0"/>
    <s v="United States"/>
    <x v="160"/>
    <x v="31"/>
    <x v="0"/>
    <s v="FUR-FU-10003553"/>
    <x v="0"/>
    <x v="3"/>
    <s v="Howard Miller 13-1/2&quot; Diameter Rosebrook Wall Clock"/>
    <n v="343.85"/>
    <n v="5"/>
    <n v="137.54"/>
    <x v="4"/>
    <x v="5"/>
  </r>
  <r>
    <s v="CA-2017-128363"/>
    <x v="790"/>
    <d v="2017-08-18T00:00:00"/>
    <x v="1"/>
    <s v="DC-12850"/>
    <s v="Dan Campbell"/>
    <x v="0"/>
    <s v="United States"/>
    <x v="10"/>
    <x v="9"/>
    <x v="0"/>
    <s v="FUR-FU-10003268"/>
    <x v="0"/>
    <x v="3"/>
    <s v="Eldon Radial Chair Mat for Low to Medium Pile Carpets"/>
    <n v="31.984000000000002"/>
    <n v="1"/>
    <n v="0"/>
    <x v="2"/>
    <x v="10"/>
  </r>
  <r>
    <s v="CA-2017-128363"/>
    <x v="790"/>
    <d v="2017-08-18T00:00:00"/>
    <x v="1"/>
    <s v="DC-12850"/>
    <s v="Dan Campbell"/>
    <x v="0"/>
    <s v="United States"/>
    <x v="10"/>
    <x v="9"/>
    <x v="0"/>
    <s v="FUR-CH-10002073"/>
    <x v="0"/>
    <x v="1"/>
    <s v="Hon Olson Stacker Chairs"/>
    <n v="423.64800000000002"/>
    <n v="2"/>
    <n v="47.660400000000003"/>
    <x v="2"/>
    <x v="10"/>
  </r>
  <r>
    <s v="CA-2016-149762"/>
    <x v="122"/>
    <d v="2016-12-07T00:00:00"/>
    <x v="1"/>
    <s v="RD-19720"/>
    <s v="Roger Demir"/>
    <x v="0"/>
    <s v="United States"/>
    <x v="333"/>
    <x v="2"/>
    <x v="1"/>
    <s v="FUR-TA-10004147"/>
    <x v="0"/>
    <x v="2"/>
    <s v="Hon 4060 Series Tables"/>
    <n v="268.70400000000001"/>
    <n v="3"/>
    <n v="6.7176"/>
    <x v="4"/>
    <x v="5"/>
  </r>
  <r>
    <s v="CA-2016-149762"/>
    <x v="122"/>
    <d v="2016-12-07T00:00:00"/>
    <x v="1"/>
    <s v="RD-19720"/>
    <s v="Roger Demir"/>
    <x v="0"/>
    <s v="United States"/>
    <x v="333"/>
    <x v="2"/>
    <x v="1"/>
    <s v="FUR-BO-10001337"/>
    <x v="0"/>
    <x v="0"/>
    <s v="O'Sullivan Living Dimensions 2-Shelf Bookcases"/>
    <n v="205.666"/>
    <n v="2"/>
    <n v="-12.098000000000001"/>
    <x v="4"/>
    <x v="5"/>
  </r>
  <r>
    <s v="CA-2016-167605"/>
    <x v="376"/>
    <d v="2016-04-30T00:00:00"/>
    <x v="0"/>
    <s v="RB-19570"/>
    <s v="Rob Beeghly"/>
    <x v="0"/>
    <s v="United States"/>
    <x v="317"/>
    <x v="8"/>
    <x v="3"/>
    <s v="FUR-FU-10001602"/>
    <x v="0"/>
    <x v="3"/>
    <s v="Eldon Delta Triangular Chair Mat, 52&quot; x 58&quot;, Clear"/>
    <n v="30.344000000000001"/>
    <n v="2"/>
    <n v="-31.8612"/>
    <x v="3"/>
    <x v="6"/>
  </r>
  <r>
    <s v="CA-2015-110891"/>
    <x v="141"/>
    <d v="2015-11-24T00:00:00"/>
    <x v="1"/>
    <s v="PO-19195"/>
    <s v="Phillina Ober"/>
    <x v="2"/>
    <s v="United States"/>
    <x v="3"/>
    <x v="3"/>
    <x v="2"/>
    <s v="FUR-CH-10002880"/>
    <x v="0"/>
    <x v="1"/>
    <s v="Global High-Back Leather Tilter, Burgundy"/>
    <n v="344.37200000000001"/>
    <n v="4"/>
    <n v="-93.472399999999993"/>
    <x v="4"/>
    <x v="0"/>
  </r>
  <r>
    <s v="CA-2017-120404"/>
    <x v="93"/>
    <d v="2017-11-24T00:00:00"/>
    <x v="0"/>
    <s v="KH-16330"/>
    <s v="Katharine Harms"/>
    <x v="1"/>
    <s v="United States"/>
    <x v="13"/>
    <x v="7"/>
    <x v="2"/>
    <s v="FUR-FU-10000820"/>
    <x v="0"/>
    <x v="3"/>
    <s v="Tensor Brushed Steel Torchiere Floor Lamp"/>
    <n v="50.97"/>
    <n v="3"/>
    <n v="9.1745999999999999"/>
    <x v="4"/>
    <x v="0"/>
  </r>
  <r>
    <s v="CA-2017-167549"/>
    <x v="730"/>
    <d v="2017-07-27T00:00:00"/>
    <x v="2"/>
    <s v="EM-14200"/>
    <s v="Evan Minnotte"/>
    <x v="2"/>
    <s v="United States"/>
    <x v="144"/>
    <x v="5"/>
    <x v="3"/>
    <s v="FUR-TA-10004767"/>
    <x v="0"/>
    <x v="2"/>
    <s v="Safco Drafting Table"/>
    <n v="298.11599999999999"/>
    <n v="6"/>
    <n v="-4.2587999999999999"/>
    <x v="3"/>
    <x v="3"/>
  </r>
  <r>
    <s v="US-2016-168095"/>
    <x v="791"/>
    <d v="2016-07-20T00:00:00"/>
    <x v="1"/>
    <s v="MC-17425"/>
    <s v="Mark Cousins"/>
    <x v="1"/>
    <s v="United States"/>
    <x v="295"/>
    <x v="36"/>
    <x v="1"/>
    <s v="FUR-CH-10004886"/>
    <x v="0"/>
    <x v="1"/>
    <s v="Bevis Steel Folding Chairs"/>
    <n v="230.28"/>
    <n v="3"/>
    <n v="23.027999999999999"/>
    <x v="2"/>
    <x v="3"/>
  </r>
  <r>
    <s v="CA-2016-146325"/>
    <x v="469"/>
    <d v="2016-12-17T00:00:00"/>
    <x v="2"/>
    <s v="DS-13180"/>
    <s v="David Smith"/>
    <x v="1"/>
    <s v="United States"/>
    <x v="53"/>
    <x v="2"/>
    <x v="1"/>
    <s v="FUR-CH-10001146"/>
    <x v="0"/>
    <x v="1"/>
    <s v="Global Task Chair, Black"/>
    <n v="81.424000000000007"/>
    <n v="2"/>
    <n v="-9.1601999999999997"/>
    <x v="0"/>
    <x v="5"/>
  </r>
  <r>
    <s v="CA-2014-131009"/>
    <x v="29"/>
    <d v="2014-03-05T00:00:00"/>
    <x v="1"/>
    <s v="SC-20380"/>
    <s v="Shahid Collister"/>
    <x v="0"/>
    <s v="United States"/>
    <x v="116"/>
    <x v="5"/>
    <x v="3"/>
    <s v="FUR-CH-10001270"/>
    <x v="0"/>
    <x v="1"/>
    <s v="Harbour Creations Steel Folding Chair"/>
    <n v="362.25"/>
    <n v="6"/>
    <n v="0"/>
    <x v="4"/>
    <x v="9"/>
  </r>
  <r>
    <s v="CA-2014-131009"/>
    <x v="29"/>
    <d v="2014-03-05T00:00:00"/>
    <x v="1"/>
    <s v="SC-20380"/>
    <s v="Shahid Collister"/>
    <x v="0"/>
    <s v="United States"/>
    <x v="116"/>
    <x v="5"/>
    <x v="3"/>
    <s v="FUR-FU-10001095"/>
    <x v="0"/>
    <x v="3"/>
    <s v="DAX Black Cherry Wood-Tone Poster Frame"/>
    <n v="63.552"/>
    <n v="6"/>
    <n v="-34.953600000000002"/>
    <x v="4"/>
    <x v="9"/>
  </r>
  <r>
    <s v="CA-2017-131807"/>
    <x v="702"/>
    <d v="2017-10-10T00:00:00"/>
    <x v="1"/>
    <s v="GG-14650"/>
    <s v="Greg Guthrie"/>
    <x v="1"/>
    <s v="United States"/>
    <x v="297"/>
    <x v="2"/>
    <x v="1"/>
    <s v="FUR-CH-10001190"/>
    <x v="0"/>
    <x v="1"/>
    <s v="Global Deluxe High-Back Office Chair in Storm"/>
    <n v="435.16800000000001"/>
    <n v="4"/>
    <n v="-59.835599999999999"/>
    <x v="2"/>
    <x v="1"/>
  </r>
  <r>
    <s v="CA-2017-131807"/>
    <x v="702"/>
    <d v="2017-10-10T00:00:00"/>
    <x v="1"/>
    <s v="GG-14650"/>
    <s v="Greg Guthrie"/>
    <x v="1"/>
    <s v="United States"/>
    <x v="297"/>
    <x v="2"/>
    <x v="1"/>
    <s v="FUR-FU-10004666"/>
    <x v="0"/>
    <x v="3"/>
    <s v="DAX Clear Channel Poster Frame"/>
    <n v="72.900000000000006"/>
    <n v="5"/>
    <n v="26.972999999999999"/>
    <x v="2"/>
    <x v="1"/>
  </r>
  <r>
    <s v="CA-2017-131807"/>
    <x v="702"/>
    <d v="2017-10-10T00:00:00"/>
    <x v="1"/>
    <s v="GG-14650"/>
    <s v="Greg Guthrie"/>
    <x v="1"/>
    <s v="United States"/>
    <x v="297"/>
    <x v="2"/>
    <x v="1"/>
    <s v="FUR-TA-10004086"/>
    <x v="0"/>
    <x v="2"/>
    <s v="KI Adjustable-Height Table"/>
    <n v="206.352"/>
    <n v="3"/>
    <n v="5.1588000000000003"/>
    <x v="2"/>
    <x v="1"/>
  </r>
  <r>
    <s v="CA-2016-157707"/>
    <x v="792"/>
    <d v="2016-10-12T00:00:00"/>
    <x v="2"/>
    <s v="CC-12610"/>
    <s v="Corey Catlett"/>
    <x v="1"/>
    <s v="United States"/>
    <x v="22"/>
    <x v="12"/>
    <x v="1"/>
    <s v="FUR-BO-10001567"/>
    <x v="0"/>
    <x v="0"/>
    <s v="Bush Westfield Collection Bookcases, Dark Cherry Finish, Fully Assembled"/>
    <n v="90.882000000000005"/>
    <n v="3"/>
    <n v="-190.85220000000001"/>
    <x v="3"/>
    <x v="1"/>
  </r>
  <r>
    <s v="CA-2016-157707"/>
    <x v="792"/>
    <d v="2016-10-12T00:00:00"/>
    <x v="2"/>
    <s v="CC-12610"/>
    <s v="Corey Catlett"/>
    <x v="1"/>
    <s v="United States"/>
    <x v="22"/>
    <x v="12"/>
    <x v="1"/>
    <s v="FUR-CH-10004853"/>
    <x v="0"/>
    <x v="1"/>
    <s v="Global Manager's Adjustable Task Chair, Storm"/>
    <n v="120.78400000000001"/>
    <n v="1"/>
    <n v="13.588200000000001"/>
    <x v="3"/>
    <x v="1"/>
  </r>
  <r>
    <s v="US-2015-126753"/>
    <x v="793"/>
    <d v="2015-08-20T00:00:00"/>
    <x v="1"/>
    <s v="SP-20860"/>
    <s v="Sung Pak"/>
    <x v="1"/>
    <s v="United States"/>
    <x v="3"/>
    <x v="3"/>
    <x v="2"/>
    <s v="FUR-FU-10001488"/>
    <x v="0"/>
    <x v="3"/>
    <s v="Tenex 46&quot; x 60&quot; Computer Anti-Static Chairmat, Rectangular Shaped"/>
    <n v="254.352"/>
    <n v="3"/>
    <n v="0"/>
    <x v="4"/>
    <x v="10"/>
  </r>
  <r>
    <s v="CA-2014-113383"/>
    <x v="767"/>
    <d v="2014-09-13T00:00:00"/>
    <x v="2"/>
    <s v="SF-20065"/>
    <s v="Sandra Flanagan"/>
    <x v="0"/>
    <s v="United States"/>
    <x v="334"/>
    <x v="18"/>
    <x v="2"/>
    <s v="FUR-FU-10001986"/>
    <x v="0"/>
    <x v="3"/>
    <s v="Dana Fluorescent Magnifying Lamp, White, 36&quot;"/>
    <n v="254.9"/>
    <n v="5"/>
    <n v="76.47"/>
    <x v="0"/>
    <x v="4"/>
  </r>
  <r>
    <s v="US-2015-165743"/>
    <x v="141"/>
    <d v="2015-11-23T00:00:00"/>
    <x v="0"/>
    <s v="MM-18055"/>
    <s v="Michelle Moray"/>
    <x v="0"/>
    <s v="United States"/>
    <x v="14"/>
    <x v="12"/>
    <x v="1"/>
    <s v="FUR-BO-10002268"/>
    <x v="0"/>
    <x v="0"/>
    <s v="Sauder Barrister Bookcases"/>
    <n v="145.76400000000001"/>
    <n v="6"/>
    <n v="-247.7988"/>
    <x v="0"/>
    <x v="0"/>
  </r>
  <r>
    <s v="US-2017-105998"/>
    <x v="54"/>
    <d v="2017-11-05T00:00:00"/>
    <x v="2"/>
    <s v="CR-12580"/>
    <s v="Clay Rozendal"/>
    <x v="2"/>
    <s v="United States"/>
    <x v="53"/>
    <x v="2"/>
    <x v="1"/>
    <s v="FUR-TA-10001095"/>
    <x v="0"/>
    <x v="2"/>
    <s v="Chromcraft Round Conference Tables"/>
    <n v="1673.184"/>
    <n v="12"/>
    <n v="20.9148"/>
    <x v="3"/>
    <x v="0"/>
  </r>
  <r>
    <s v="US-2014-148194"/>
    <x v="236"/>
    <d v="2014-05-07T00:00:00"/>
    <x v="2"/>
    <s v="BS-11365"/>
    <s v="Bill Shonely"/>
    <x v="1"/>
    <s v="United States"/>
    <x v="15"/>
    <x v="13"/>
    <x v="1"/>
    <s v="FUR-FU-10001852"/>
    <x v="0"/>
    <x v="3"/>
    <s v="Eldon Regeneration Recycled Desk Accessories, Smoke"/>
    <n v="12.18"/>
    <n v="7"/>
    <n v="3.8976000000000002"/>
    <x v="0"/>
    <x v="7"/>
  </r>
  <r>
    <s v="CA-2014-143210"/>
    <x v="280"/>
    <d v="2014-12-03T00:00:00"/>
    <x v="2"/>
    <s v="AA-10645"/>
    <s v="Anna Andreadi"/>
    <x v="0"/>
    <s v="United States"/>
    <x v="172"/>
    <x v="20"/>
    <x v="2"/>
    <s v="FUR-FU-10003878"/>
    <x v="0"/>
    <x v="3"/>
    <s v="Linden 10&quot; Round Wall Clock, Black"/>
    <n v="45.84"/>
    <n v="3"/>
    <n v="15.585599999999999"/>
    <x v="3"/>
    <x v="5"/>
  </r>
  <r>
    <s v="CA-2014-143210"/>
    <x v="280"/>
    <d v="2014-12-03T00:00:00"/>
    <x v="2"/>
    <s v="AA-10645"/>
    <s v="Anna Andreadi"/>
    <x v="0"/>
    <s v="United States"/>
    <x v="172"/>
    <x v="20"/>
    <x v="2"/>
    <s v="FUR-FU-10002268"/>
    <x v="0"/>
    <x v="3"/>
    <s v="Ultra Door Push Plate"/>
    <n v="9.82"/>
    <n v="2"/>
    <n v="3.2406000000000001"/>
    <x v="3"/>
    <x v="5"/>
  </r>
  <r>
    <s v="CA-2015-110863"/>
    <x v="669"/>
    <d v="2015-11-24T00:00:00"/>
    <x v="1"/>
    <s v="AA-10645"/>
    <s v="Anna Andreadi"/>
    <x v="0"/>
    <s v="United States"/>
    <x v="258"/>
    <x v="37"/>
    <x v="3"/>
    <s v="FUR-CH-10002073"/>
    <x v="0"/>
    <x v="1"/>
    <s v="Hon Olson Stacker Chairs"/>
    <n v="1323.9"/>
    <n v="5"/>
    <n v="383.93099999999998"/>
    <x v="1"/>
    <x v="0"/>
  </r>
  <r>
    <s v="CA-2017-120168"/>
    <x v="794"/>
    <d v="2017-05-25T00:00:00"/>
    <x v="3"/>
    <s v="TB-21625"/>
    <s v="Trudy Brown"/>
    <x v="0"/>
    <s v="United States"/>
    <x v="13"/>
    <x v="7"/>
    <x v="2"/>
    <s v="FUR-FU-10000732"/>
    <x v="0"/>
    <x v="3"/>
    <s v="Eldon 200 Class Desk Accessories"/>
    <n v="18.84"/>
    <n v="3"/>
    <n v="6.0288000000000004"/>
    <x v="7"/>
    <x v="7"/>
  </r>
  <r>
    <s v="US-2014-131870"/>
    <x v="383"/>
    <d v="2014-09-11T00:00:00"/>
    <x v="2"/>
    <s v="NF-18595"/>
    <s v="Nicole Fjeld"/>
    <x v="2"/>
    <s v="United States"/>
    <x v="68"/>
    <x v="15"/>
    <x v="2"/>
    <s v="FUR-FU-10002501"/>
    <x v="0"/>
    <x v="3"/>
    <s v="Nu-Dell Executive Frame"/>
    <n v="60.671999999999997"/>
    <n v="6"/>
    <n v="12.892799999999999"/>
    <x v="3"/>
    <x v="4"/>
  </r>
  <r>
    <s v="CA-2014-129189"/>
    <x v="294"/>
    <d v="2014-07-25T00:00:00"/>
    <x v="1"/>
    <s v="HM-14860"/>
    <s v="Harry Marie"/>
    <x v="1"/>
    <s v="United States"/>
    <x v="144"/>
    <x v="5"/>
    <x v="3"/>
    <s v="FUR-CH-10004997"/>
    <x v="0"/>
    <x v="1"/>
    <s v="Hon Every-Day Series Multi-Task Chairs"/>
    <n v="657.93"/>
    <n v="5"/>
    <n v="-93.99"/>
    <x v="4"/>
    <x v="3"/>
  </r>
  <r>
    <s v="CA-2015-132465"/>
    <x v="795"/>
    <d v="2015-09-15T00:00:00"/>
    <x v="0"/>
    <s v="DM-13525"/>
    <s v="Don Miller"/>
    <x v="1"/>
    <s v="United States"/>
    <x v="13"/>
    <x v="7"/>
    <x v="2"/>
    <s v="FUR-FU-10000277"/>
    <x v="0"/>
    <x v="3"/>
    <s v="Deflect-o DuraMat Antistatic Studded Beveled Mat for Medium Pile Carpeting"/>
    <n v="210.68"/>
    <n v="2"/>
    <n v="50.563200000000002"/>
    <x v="4"/>
    <x v="4"/>
  </r>
  <r>
    <s v="CA-2016-158806"/>
    <x v="796"/>
    <d v="2016-01-11T00:00:00"/>
    <x v="1"/>
    <s v="NM-18520"/>
    <s v="Neoma Murray"/>
    <x v="0"/>
    <s v="United States"/>
    <x v="45"/>
    <x v="5"/>
    <x v="3"/>
    <s v="FUR-FU-10004270"/>
    <x v="0"/>
    <x v="3"/>
    <s v="Executive Impressions 13&quot; Clairmont Wall Clock"/>
    <n v="23.076000000000001"/>
    <n v="3"/>
    <n v="-10.9611"/>
    <x v="4"/>
    <x v="8"/>
  </r>
  <r>
    <s v="CA-2015-119690"/>
    <x v="528"/>
    <d v="2015-06-28T00:00:00"/>
    <x v="2"/>
    <s v="MV-17485"/>
    <s v="Mark Van Huff"/>
    <x v="0"/>
    <s v="United States"/>
    <x v="6"/>
    <x v="5"/>
    <x v="3"/>
    <s v="FUR-FU-10004587"/>
    <x v="0"/>
    <x v="3"/>
    <s v="GE General Use Halogen Bulbs, 100 Watts, 1 Bulb per Pack"/>
    <n v="75.384"/>
    <n v="9"/>
    <n v="-20.730599999999999"/>
    <x v="0"/>
    <x v="2"/>
  </r>
  <r>
    <s v="CA-2017-109393"/>
    <x v="254"/>
    <d v="2017-07-02T00:00:00"/>
    <x v="0"/>
    <s v="JC-15775"/>
    <s v="John Castell"/>
    <x v="0"/>
    <s v="United States"/>
    <x v="2"/>
    <x v="2"/>
    <x v="1"/>
    <s v="FUR-BO-10003966"/>
    <x v="0"/>
    <x v="0"/>
    <s v="Sauder Facets Collection Library, Sky Alder Finish"/>
    <n v="435.99900000000002"/>
    <n v="3"/>
    <n v="5.1294000000000004"/>
    <x v="3"/>
    <x v="2"/>
  </r>
  <r>
    <s v="CA-2017-121489"/>
    <x v="67"/>
    <d v="2017-08-25T00:00:00"/>
    <x v="0"/>
    <s v="CM-11815"/>
    <s v="Candace McMahon"/>
    <x v="1"/>
    <s v="United States"/>
    <x v="15"/>
    <x v="13"/>
    <x v="1"/>
    <s v="FUR-CH-10004698"/>
    <x v="0"/>
    <x v="1"/>
    <s v="Padded Folding Chairs, Black, 4/Carton"/>
    <n v="388.70400000000001"/>
    <n v="6"/>
    <n v="38.870399999999997"/>
    <x v="4"/>
    <x v="10"/>
  </r>
  <r>
    <s v="US-2017-133081"/>
    <x v="745"/>
    <d v="2017-03-15T00:00:00"/>
    <x v="1"/>
    <s v="PV-18985"/>
    <s v="Paul Van Hugh"/>
    <x v="2"/>
    <s v="United States"/>
    <x v="335"/>
    <x v="20"/>
    <x v="2"/>
    <s v="FUR-FU-10001379"/>
    <x v="0"/>
    <x v="3"/>
    <s v="Executive Impressions 16-1/2&quot; Circular Wall Clock"/>
    <n v="26.72"/>
    <n v="1"/>
    <n v="11.7568"/>
    <x v="4"/>
    <x v="9"/>
  </r>
  <r>
    <s v="CA-2014-144974"/>
    <x v="218"/>
    <d v="2014-09-30T00:00:00"/>
    <x v="1"/>
    <s v="CM-12715"/>
    <s v="Craig Molinari"/>
    <x v="1"/>
    <s v="United States"/>
    <x v="3"/>
    <x v="3"/>
    <x v="2"/>
    <s v="FUR-FU-10001095"/>
    <x v="0"/>
    <x v="3"/>
    <s v="DAX Black Cherry Wood-Tone Poster Frame"/>
    <n v="21.184000000000001"/>
    <n v="1"/>
    <n v="4.7664"/>
    <x v="4"/>
    <x v="4"/>
  </r>
  <r>
    <s v="CA-2015-121188"/>
    <x v="797"/>
    <d v="2015-09-04T00:00:00"/>
    <x v="1"/>
    <s v="CB-12025"/>
    <s v="Cassandra Brandow"/>
    <x v="0"/>
    <s v="United States"/>
    <x v="2"/>
    <x v="2"/>
    <x v="1"/>
    <s v="FUR-BO-10004695"/>
    <x v="0"/>
    <x v="0"/>
    <s v="O'Sullivan 2-Door Barrister Bookcase in Odessa Pine"/>
    <n v="307.666"/>
    <n v="2"/>
    <n v="28.956800000000001"/>
    <x v="1"/>
    <x v="10"/>
  </r>
  <r>
    <s v="CA-2015-121188"/>
    <x v="797"/>
    <d v="2015-09-04T00:00:00"/>
    <x v="1"/>
    <s v="CB-12025"/>
    <s v="Cassandra Brandow"/>
    <x v="0"/>
    <s v="United States"/>
    <x v="2"/>
    <x v="2"/>
    <x v="1"/>
    <s v="FUR-FU-10003981"/>
    <x v="0"/>
    <x v="3"/>
    <s v="Eldon Wave Desk Accessories"/>
    <n v="4.16"/>
    <n v="2"/>
    <n v="1.7472000000000001"/>
    <x v="1"/>
    <x v="10"/>
  </r>
  <r>
    <s v="US-2015-160563"/>
    <x v="798"/>
    <d v="2015-10-24T00:00:00"/>
    <x v="1"/>
    <s v="NS-18640"/>
    <s v="Noel Staavos"/>
    <x v="1"/>
    <s v="United States"/>
    <x v="28"/>
    <x v="2"/>
    <x v="1"/>
    <s v="FUR-FU-10001731"/>
    <x v="0"/>
    <x v="3"/>
    <s v="Acrylic Self-Standing Desk Frames"/>
    <n v="16.02"/>
    <n v="6"/>
    <n v="6.0876000000000001"/>
    <x v="4"/>
    <x v="1"/>
  </r>
  <r>
    <s v="CA-2017-151750"/>
    <x v="143"/>
    <d v="2017-01-05T00:00:00"/>
    <x v="1"/>
    <s v="JM-15250"/>
    <s v="Janet Martin"/>
    <x v="0"/>
    <s v="United States"/>
    <x v="156"/>
    <x v="5"/>
    <x v="3"/>
    <s v="FUR-FU-10002116"/>
    <x v="0"/>
    <x v="3"/>
    <s v="Tenex Carpeted, Granite-Look or Clear Contemporary Contour Shape Chair Mats"/>
    <n v="141.41999999999999"/>
    <n v="5"/>
    <n v="-187.38149999999999"/>
    <x v="4"/>
    <x v="8"/>
  </r>
  <r>
    <s v="CA-2017-151750"/>
    <x v="143"/>
    <d v="2017-01-05T00:00:00"/>
    <x v="1"/>
    <s v="JM-15250"/>
    <s v="Janet Martin"/>
    <x v="0"/>
    <s v="United States"/>
    <x v="156"/>
    <x v="5"/>
    <x v="3"/>
    <s v="FUR-CH-10003199"/>
    <x v="0"/>
    <x v="1"/>
    <s v="Office Star - Contemporary Task Swivel Chair"/>
    <n v="310.74400000000003"/>
    <n v="4"/>
    <n v="-26.635200000000001"/>
    <x v="4"/>
    <x v="8"/>
  </r>
  <r>
    <s v="CA-2015-106187"/>
    <x v="799"/>
    <d v="2015-06-29T00:00:00"/>
    <x v="1"/>
    <s v="RF-19345"/>
    <s v="Randy Ferguson"/>
    <x v="1"/>
    <s v="United States"/>
    <x v="336"/>
    <x v="24"/>
    <x v="0"/>
    <s v="FUR-FU-10000794"/>
    <x v="0"/>
    <x v="3"/>
    <s v="Eldon Stackable Tray, Side-Load, Legal, Smoke"/>
    <n v="27.42"/>
    <n v="3"/>
    <n v="9.3228000000000009"/>
    <x v="6"/>
    <x v="2"/>
  </r>
  <r>
    <s v="CA-2016-105753"/>
    <x v="697"/>
    <d v="2016-10-26T00:00:00"/>
    <x v="1"/>
    <s v="LC-16960"/>
    <s v="Lindsay Castell"/>
    <x v="2"/>
    <s v="United States"/>
    <x v="58"/>
    <x v="25"/>
    <x v="0"/>
    <s v="FUR-FU-10000246"/>
    <x v="0"/>
    <x v="3"/>
    <s v="Aluminum Document Frame"/>
    <n v="61.1"/>
    <n v="5"/>
    <n v="18.329999999999998"/>
    <x v="6"/>
    <x v="1"/>
  </r>
  <r>
    <s v="CA-2017-133046"/>
    <x v="534"/>
    <d v="2017-08-01T00:00:00"/>
    <x v="0"/>
    <s v="DK-13375"/>
    <s v="Dennis Kane"/>
    <x v="0"/>
    <s v="United States"/>
    <x v="15"/>
    <x v="13"/>
    <x v="1"/>
    <s v="FUR-FU-10001940"/>
    <x v="0"/>
    <x v="3"/>
    <s v="Staple-based wall hangings"/>
    <n v="23.88"/>
    <n v="3"/>
    <n v="10.507199999999999"/>
    <x v="2"/>
    <x v="3"/>
  </r>
  <r>
    <s v="CA-2017-159149"/>
    <x v="506"/>
    <d v="2017-02-19T00:00:00"/>
    <x v="2"/>
    <s v="CR-12820"/>
    <s v="Cyra Reiten"/>
    <x v="2"/>
    <s v="United States"/>
    <x v="6"/>
    <x v="5"/>
    <x v="3"/>
    <s v="FUR-BO-10001601"/>
    <x v="0"/>
    <x v="0"/>
    <s v="Sauder Mission Library with Doors, Fruitwood Finish"/>
    <n v="89.066400000000002"/>
    <n v="1"/>
    <n v="-17.0274"/>
    <x v="3"/>
    <x v="11"/>
  </r>
  <r>
    <s v="US-2017-167570"/>
    <x v="64"/>
    <d v="2017-12-15T00:00:00"/>
    <x v="1"/>
    <s v="EG-13900"/>
    <s v="Emily Grady"/>
    <x v="0"/>
    <s v="United States"/>
    <x v="3"/>
    <x v="3"/>
    <x v="2"/>
    <s v="FUR-CH-10003396"/>
    <x v="0"/>
    <x v="1"/>
    <s v="Global Deluxe Steno Chair"/>
    <n v="215.54400000000001"/>
    <n v="4"/>
    <n v="-58.504800000000003"/>
    <x v="1"/>
    <x v="5"/>
  </r>
  <r>
    <s v="CA-2017-160122"/>
    <x v="414"/>
    <d v="2017-11-23T00:00:00"/>
    <x v="1"/>
    <s v="RD-19930"/>
    <s v="Russell D'Ascenzo"/>
    <x v="0"/>
    <s v="United States"/>
    <x v="9"/>
    <x v="8"/>
    <x v="3"/>
    <s v="FUR-CH-10000422"/>
    <x v="0"/>
    <x v="1"/>
    <s v="Global Highback Leather Tilter in Burgundy"/>
    <n v="127.386"/>
    <n v="2"/>
    <n v="-25.4772"/>
    <x v="2"/>
    <x v="0"/>
  </r>
  <r>
    <s v="CA-2016-130393"/>
    <x v="193"/>
    <d v="2016-12-03T00:00:00"/>
    <x v="0"/>
    <s v="JM-15865"/>
    <s v="John Murray"/>
    <x v="0"/>
    <s v="United States"/>
    <x v="147"/>
    <x v="5"/>
    <x v="3"/>
    <s v="FUR-CH-10002647"/>
    <x v="0"/>
    <x v="1"/>
    <s v="Situations Contoured Folding Chairs, 4/Set"/>
    <n v="248.43"/>
    <n v="5"/>
    <n v="-17.745000000000001"/>
    <x v="3"/>
    <x v="5"/>
  </r>
  <r>
    <s v="CA-2016-130393"/>
    <x v="193"/>
    <d v="2016-12-03T00:00:00"/>
    <x v="0"/>
    <s v="JM-15865"/>
    <s v="John Murray"/>
    <x v="0"/>
    <s v="United States"/>
    <x v="147"/>
    <x v="5"/>
    <x v="3"/>
    <s v="FUR-CH-10004477"/>
    <x v="0"/>
    <x v="1"/>
    <s v="Global Push Button Manager's Chair, Indigo"/>
    <n v="85.245999999999995"/>
    <n v="2"/>
    <n v="-1.2178"/>
    <x v="3"/>
    <x v="5"/>
  </r>
  <r>
    <s v="CA-2017-101014"/>
    <x v="800"/>
    <d v="2017-09-04T00:00:00"/>
    <x v="1"/>
    <s v="RW-19540"/>
    <s v="Rick Wilson"/>
    <x v="1"/>
    <s v="United States"/>
    <x v="2"/>
    <x v="2"/>
    <x v="1"/>
    <s v="FUR-FU-10003374"/>
    <x v="0"/>
    <x v="3"/>
    <s v="Electrix Fluorescent Magnifier Lamps &amp; Weighted Base"/>
    <n v="148.02000000000001"/>
    <n v="3"/>
    <n v="41.445599999999999"/>
    <x v="6"/>
    <x v="10"/>
  </r>
  <r>
    <s v="US-2017-106551"/>
    <x v="801"/>
    <d v="2017-07-27T00:00:00"/>
    <x v="1"/>
    <s v="EB-13930"/>
    <s v="Eric Barreto"/>
    <x v="0"/>
    <s v="United States"/>
    <x v="9"/>
    <x v="8"/>
    <x v="3"/>
    <s v="FUR-CH-10004997"/>
    <x v="0"/>
    <x v="1"/>
    <s v="Hon Every-Day Series Multi-Task Chairs"/>
    <n v="526.34400000000005"/>
    <n v="4"/>
    <n v="-75.191999999999993"/>
    <x v="2"/>
    <x v="3"/>
  </r>
  <r>
    <s v="CA-2016-116722"/>
    <x v="367"/>
    <d v="2016-11-16T00:00:00"/>
    <x v="1"/>
    <s v="LP-17080"/>
    <s v="Liz Pelletier"/>
    <x v="0"/>
    <s v="United States"/>
    <x v="28"/>
    <x v="2"/>
    <x v="1"/>
    <s v="FUR-FU-10001934"/>
    <x v="0"/>
    <x v="3"/>
    <s v="Magnifier Swing Arm Lamp"/>
    <n v="41.96"/>
    <n v="2"/>
    <n v="10.909599999999999"/>
    <x v="2"/>
    <x v="0"/>
  </r>
  <r>
    <s v="CA-2016-116722"/>
    <x v="367"/>
    <d v="2016-11-16T00:00:00"/>
    <x v="1"/>
    <s v="LP-17080"/>
    <s v="Liz Pelletier"/>
    <x v="0"/>
    <s v="United States"/>
    <x v="28"/>
    <x v="2"/>
    <x v="1"/>
    <s v="FUR-CH-10004997"/>
    <x v="0"/>
    <x v="1"/>
    <s v="Hon Every-Day Series Multi-Task Chairs"/>
    <n v="451.15199999999999"/>
    <n v="3"/>
    <n v="0"/>
    <x v="2"/>
    <x v="0"/>
  </r>
  <r>
    <s v="US-2017-150070"/>
    <x v="87"/>
    <d v="2017-09-12T00:00:00"/>
    <x v="1"/>
    <s v="JA-15970"/>
    <s v="Joseph Airdo"/>
    <x v="0"/>
    <s v="United States"/>
    <x v="337"/>
    <x v="2"/>
    <x v="1"/>
    <s v="FUR-CH-10004860"/>
    <x v="0"/>
    <x v="1"/>
    <s v="Global Low Back Tilter Chair"/>
    <n v="161.56800000000001"/>
    <n v="2"/>
    <n v="-28.2744"/>
    <x v="2"/>
    <x v="4"/>
  </r>
  <r>
    <s v="CA-2017-157350"/>
    <x v="802"/>
    <d v="2017-09-01T00:00:00"/>
    <x v="1"/>
    <s v="DP-13000"/>
    <s v="Darren Powers"/>
    <x v="0"/>
    <s v="United States"/>
    <x v="9"/>
    <x v="8"/>
    <x v="3"/>
    <s v="FUR-FU-10000222"/>
    <x v="0"/>
    <x v="3"/>
    <s v="Seth Thomas 16&quot; Steel Case Clock"/>
    <n v="64.959999999999994"/>
    <n v="5"/>
    <n v="-43.847999999999999"/>
    <x v="6"/>
    <x v="10"/>
  </r>
  <r>
    <s v="CA-2015-131352"/>
    <x v="643"/>
    <d v="2015-10-13T00:00:00"/>
    <x v="1"/>
    <s v="GH-14485"/>
    <s v="Gene Hale"/>
    <x v="1"/>
    <s v="United States"/>
    <x v="144"/>
    <x v="5"/>
    <x v="3"/>
    <s v="FUR-FU-10003708"/>
    <x v="0"/>
    <x v="3"/>
    <s v="Tenex Traditional Chairmats for Medium Pile Carpet, Standard Lip, 36&quot; x 48&quot;"/>
    <n v="72.78"/>
    <n v="3"/>
    <n v="-70.960499999999996"/>
    <x v="2"/>
    <x v="1"/>
  </r>
  <r>
    <s v="CA-2016-118073"/>
    <x v="577"/>
    <d v="2016-08-16T00:00:00"/>
    <x v="1"/>
    <s v="CS-12490"/>
    <s v="Cindy Schnelling"/>
    <x v="1"/>
    <s v="United States"/>
    <x v="49"/>
    <x v="1"/>
    <x v="0"/>
    <s v="FUR-TA-10002533"/>
    <x v="0"/>
    <x v="2"/>
    <s v="BPI Conference Tables"/>
    <n v="562.29250000000002"/>
    <n v="7"/>
    <n v="-255.58750000000001"/>
    <x v="4"/>
    <x v="10"/>
  </r>
  <r>
    <s v="CA-2014-103219"/>
    <x v="77"/>
    <d v="2014-11-13T00:00:00"/>
    <x v="1"/>
    <s v="BF-11215"/>
    <s v="Benjamin Farhat"/>
    <x v="2"/>
    <s v="United States"/>
    <x v="13"/>
    <x v="7"/>
    <x v="2"/>
    <s v="FUR-FU-10004091"/>
    <x v="0"/>
    <x v="3"/>
    <s v="Eldon 200 Class Desk Accessories, Black"/>
    <n v="56.52"/>
    <n v="9"/>
    <n v="21.477599999999999"/>
    <x v="4"/>
    <x v="0"/>
  </r>
  <r>
    <s v="CA-2016-100993"/>
    <x v="223"/>
    <d v="2016-02-10T00:00:00"/>
    <x v="1"/>
    <s v="AZ-10750"/>
    <s v="Annie Zypern"/>
    <x v="0"/>
    <s v="United States"/>
    <x v="53"/>
    <x v="2"/>
    <x v="1"/>
    <s v="FUR-TA-10001095"/>
    <x v="0"/>
    <x v="2"/>
    <s v="Chromcraft Round Conference Tables"/>
    <n v="557.72799999999995"/>
    <n v="4"/>
    <n v="6.9715999999999996"/>
    <x v="2"/>
    <x v="11"/>
  </r>
  <r>
    <s v="CA-2014-167997"/>
    <x v="375"/>
    <d v="2014-01-29T00:00:00"/>
    <x v="2"/>
    <s v="CA-11965"/>
    <s v="Carol Adams"/>
    <x v="1"/>
    <s v="United States"/>
    <x v="338"/>
    <x v="40"/>
    <x v="3"/>
    <s v="FUR-BO-10004409"/>
    <x v="0"/>
    <x v="0"/>
    <s v="Safco Value Mate Series Steel Bookcases, Baked Enamel Finish on Steel, Gray"/>
    <n v="141.96"/>
    <n v="2"/>
    <n v="39.748800000000003"/>
    <x v="0"/>
    <x v="8"/>
  </r>
  <r>
    <s v="CA-2016-131296"/>
    <x v="803"/>
    <d v="2016-10-09T00:00:00"/>
    <x v="1"/>
    <s v="MS-17830"/>
    <s v="Melanie Seite"/>
    <x v="0"/>
    <s v="United States"/>
    <x v="237"/>
    <x v="32"/>
    <x v="2"/>
    <s v="FUR-TA-10002622"/>
    <x v="0"/>
    <x v="2"/>
    <s v="Bush Andora Conference Table, Maple/Graphite Gray Finish"/>
    <n v="239.37200000000001"/>
    <n v="2"/>
    <n v="-23.937200000000001"/>
    <x v="2"/>
    <x v="1"/>
  </r>
  <r>
    <s v="CA-2016-134138"/>
    <x v="285"/>
    <d v="2016-02-20T00:00:00"/>
    <x v="1"/>
    <s v="JD-15790"/>
    <s v="John Dryer"/>
    <x v="0"/>
    <s v="United States"/>
    <x v="31"/>
    <x v="18"/>
    <x v="2"/>
    <s v="FUR-CH-10001545"/>
    <x v="0"/>
    <x v="1"/>
    <s v="Hon Comfortask Task/Swivel Chairs"/>
    <n v="227.96"/>
    <n v="2"/>
    <n v="36.473599999999998"/>
    <x v="4"/>
    <x v="11"/>
  </r>
  <r>
    <s v="CA-2015-168207"/>
    <x v="46"/>
    <d v="2015-11-06T00:00:00"/>
    <x v="1"/>
    <s v="LT-17110"/>
    <s v="Liz Thompson"/>
    <x v="0"/>
    <s v="United States"/>
    <x v="53"/>
    <x v="2"/>
    <x v="1"/>
    <s v="FUR-FU-10004909"/>
    <x v="0"/>
    <x v="3"/>
    <s v="Contemporary Wood/Metal Frame"/>
    <n v="96.96"/>
    <n v="6"/>
    <n v="33.936"/>
    <x v="4"/>
    <x v="0"/>
  </r>
  <r>
    <s v="CA-2015-168207"/>
    <x v="46"/>
    <d v="2015-11-06T00:00:00"/>
    <x v="1"/>
    <s v="LT-17110"/>
    <s v="Liz Thompson"/>
    <x v="0"/>
    <s v="United States"/>
    <x v="53"/>
    <x v="2"/>
    <x v="1"/>
    <s v="FUR-BO-10004357"/>
    <x v="0"/>
    <x v="0"/>
    <s v="O'Sullivan Living Dimensions 3-Shelf Bookcases"/>
    <n v="512.49900000000002"/>
    <n v="3"/>
    <n v="-30.146999999999998"/>
    <x v="4"/>
    <x v="0"/>
  </r>
  <r>
    <s v="CA-2016-144148"/>
    <x v="581"/>
    <d v="2016-08-05T00:00:00"/>
    <x v="1"/>
    <s v="AH-10690"/>
    <s v="Anna HŠberlin"/>
    <x v="1"/>
    <s v="United States"/>
    <x v="28"/>
    <x v="2"/>
    <x v="1"/>
    <s v="FUR-TA-10002774"/>
    <x v="0"/>
    <x v="2"/>
    <s v="Laminate Occasional Tables"/>
    <n v="863.12800000000004"/>
    <n v="7"/>
    <n v="-32.3673"/>
    <x v="2"/>
    <x v="3"/>
  </r>
  <r>
    <s v="CA-2017-107174"/>
    <x v="200"/>
    <d v="2017-11-13T00:00:00"/>
    <x v="1"/>
    <s v="AB-10060"/>
    <s v="Adam Bellavance"/>
    <x v="2"/>
    <s v="United States"/>
    <x v="15"/>
    <x v="13"/>
    <x v="1"/>
    <s v="FUR-TA-10004575"/>
    <x v="0"/>
    <x v="2"/>
    <s v="Hon 5100 Series Wood Tables"/>
    <n v="2036.86"/>
    <n v="7"/>
    <n v="366.63479999999998"/>
    <x v="1"/>
    <x v="0"/>
  </r>
  <r>
    <s v="CA-2017-107174"/>
    <x v="200"/>
    <d v="2017-11-13T00:00:00"/>
    <x v="1"/>
    <s v="AB-10060"/>
    <s v="Adam Bellavance"/>
    <x v="2"/>
    <s v="United States"/>
    <x v="15"/>
    <x v="13"/>
    <x v="1"/>
    <s v="FUR-CH-10003312"/>
    <x v="0"/>
    <x v="1"/>
    <s v="Hon 2090 ÒPillow SoftÓ Series Mid Back Swivel/Tilt Chairs"/>
    <n v="449.56799999999998"/>
    <n v="2"/>
    <n v="-73.0548"/>
    <x v="1"/>
    <x v="0"/>
  </r>
  <r>
    <s v="CA-2015-112767"/>
    <x v="601"/>
    <d v="2015-08-06T00:00:00"/>
    <x v="1"/>
    <s v="DK-12985"/>
    <s v="Darren Koutras"/>
    <x v="0"/>
    <s v="United States"/>
    <x v="76"/>
    <x v="36"/>
    <x v="1"/>
    <s v="FUR-TA-10003469"/>
    <x v="0"/>
    <x v="2"/>
    <s v="Balt Split Level Computer Training Table"/>
    <n v="277.5"/>
    <n v="4"/>
    <n v="-188.7"/>
    <x v="4"/>
    <x v="10"/>
  </r>
  <r>
    <s v="CA-2015-119879"/>
    <x v="32"/>
    <d v="2015-11-25T00:00:00"/>
    <x v="1"/>
    <s v="SS-20410"/>
    <s v="Shahid Shariari"/>
    <x v="0"/>
    <s v="United States"/>
    <x v="3"/>
    <x v="3"/>
    <x v="2"/>
    <s v="FUR-TA-10002958"/>
    <x v="0"/>
    <x v="2"/>
    <s v="Bevis Oval Conference Table, Walnut"/>
    <n v="1252.704"/>
    <n v="8"/>
    <n v="-480.20319999999998"/>
    <x v="4"/>
    <x v="0"/>
  </r>
  <r>
    <s v="CA-2017-155642"/>
    <x v="514"/>
    <d v="2017-05-22T00:00:00"/>
    <x v="1"/>
    <s v="BM-11575"/>
    <s v="Brendan Murry"/>
    <x v="1"/>
    <s v="United States"/>
    <x v="9"/>
    <x v="8"/>
    <x v="3"/>
    <s v="FUR-FU-10004973"/>
    <x v="0"/>
    <x v="3"/>
    <s v="Flat Face Poster Frame"/>
    <n v="22.608000000000001"/>
    <n v="3"/>
    <n v="-10.1736"/>
    <x v="4"/>
    <x v="7"/>
  </r>
  <r>
    <s v="CA-2017-155642"/>
    <x v="514"/>
    <d v="2017-05-22T00:00:00"/>
    <x v="1"/>
    <s v="BM-11575"/>
    <s v="Brendan Murry"/>
    <x v="1"/>
    <s v="United States"/>
    <x v="9"/>
    <x v="8"/>
    <x v="3"/>
    <s v="FUR-FU-10001918"/>
    <x v="0"/>
    <x v="3"/>
    <s v="C-Line Cubicle Keepers Polyproplyene Holder With Velcro Backings"/>
    <n v="1.8919999999999999"/>
    <n v="1"/>
    <n v="-0.99329999999999996"/>
    <x v="4"/>
    <x v="7"/>
  </r>
  <r>
    <s v="CA-2015-136728"/>
    <x v="615"/>
    <d v="2015-09-17T00:00:00"/>
    <x v="0"/>
    <s v="AG-10900"/>
    <s v="Arthur Gainer"/>
    <x v="0"/>
    <s v="United States"/>
    <x v="9"/>
    <x v="8"/>
    <x v="3"/>
    <s v="FUR-CH-10003817"/>
    <x v="0"/>
    <x v="1"/>
    <s v="Global Value Steno Chair, Gray"/>
    <n v="170.072"/>
    <n v="4"/>
    <n v="-12.148"/>
    <x v="4"/>
    <x v="4"/>
  </r>
  <r>
    <s v="US-2017-155866"/>
    <x v="429"/>
    <d v="2017-11-21T00:00:00"/>
    <x v="1"/>
    <s v="CC-12370"/>
    <s v="Christopher Conant"/>
    <x v="0"/>
    <s v="United States"/>
    <x v="13"/>
    <x v="7"/>
    <x v="2"/>
    <s v="FUR-FU-10004091"/>
    <x v="0"/>
    <x v="3"/>
    <s v="Howard Miller 13&quot; Diameter Goldtone Round Wall Clock"/>
    <n v="187.76"/>
    <n v="4"/>
    <n v="76.9816"/>
    <x v="4"/>
    <x v="0"/>
  </r>
  <r>
    <s v="CA-2015-141327"/>
    <x v="737"/>
    <d v="2015-12-03T00:00:00"/>
    <x v="2"/>
    <s v="LR-16915"/>
    <s v="Lena Radford"/>
    <x v="0"/>
    <s v="United States"/>
    <x v="339"/>
    <x v="30"/>
    <x v="0"/>
    <s v="FUR-FU-10000576"/>
    <x v="0"/>
    <x v="3"/>
    <s v="Luxo Professional Fluorescent Magnifier Lamp with Clamp-Mount Base"/>
    <n v="335.74400000000003"/>
    <n v="2"/>
    <n v="25.180800000000001"/>
    <x v="0"/>
    <x v="0"/>
  </r>
  <r>
    <s v="CA-2015-114811"/>
    <x v="428"/>
    <d v="2015-11-08T00:00:00"/>
    <x v="3"/>
    <s v="KD-16495"/>
    <s v="Keith Dawkins"/>
    <x v="1"/>
    <s v="United States"/>
    <x v="13"/>
    <x v="7"/>
    <x v="2"/>
    <s v="FUR-FU-10002240"/>
    <x v="0"/>
    <x v="3"/>
    <s v="Nu-Dell EZ-Mount Plastic Wall Frames"/>
    <n v="11.82"/>
    <n v="3"/>
    <n v="4.7279999999999998"/>
    <x v="7"/>
    <x v="0"/>
  </r>
  <r>
    <s v="CA-2015-114811"/>
    <x v="428"/>
    <d v="2015-11-08T00:00:00"/>
    <x v="3"/>
    <s v="KD-16495"/>
    <s v="Keith Dawkins"/>
    <x v="1"/>
    <s v="United States"/>
    <x v="13"/>
    <x v="7"/>
    <x v="2"/>
    <s v="FUR-CH-10003746"/>
    <x v="0"/>
    <x v="1"/>
    <s v="Hon 4070 Series Pagoda Round Back Stacking Chairs"/>
    <n v="577.76400000000001"/>
    <n v="2"/>
    <n v="115.5528"/>
    <x v="7"/>
    <x v="0"/>
  </r>
  <r>
    <s v="CA-2015-122266"/>
    <x v="12"/>
    <d v="2015-04-30T00:00:00"/>
    <x v="1"/>
    <s v="SA-20830"/>
    <s v="Sue Ann Reed"/>
    <x v="0"/>
    <s v="United States"/>
    <x v="340"/>
    <x v="1"/>
    <x v="0"/>
    <s v="FUR-TA-10000577"/>
    <x v="0"/>
    <x v="2"/>
    <s v="Bretford CR4500 Series Slim Rectangular Table"/>
    <n v="191.5155"/>
    <n v="1"/>
    <n v="-76.606200000000001"/>
    <x v="4"/>
    <x v="6"/>
  </r>
  <r>
    <s v="CA-2016-116337"/>
    <x v="267"/>
    <d v="2016-11-12T00:00:00"/>
    <x v="1"/>
    <s v="MC-17845"/>
    <s v="Michael Chen"/>
    <x v="0"/>
    <s v="United States"/>
    <x v="144"/>
    <x v="5"/>
    <x v="3"/>
    <s v="FUR-FU-10002030"/>
    <x v="0"/>
    <x v="3"/>
    <s v="Executive Impressions 14&quot; Contract Wall Clock with Quartz Movement"/>
    <n v="44.46"/>
    <n v="5"/>
    <n v="-17.783999999999999"/>
    <x v="2"/>
    <x v="0"/>
  </r>
  <r>
    <s v="CA-2014-120775"/>
    <x v="215"/>
    <d v="2014-10-07T00:00:00"/>
    <x v="1"/>
    <s v="RD-19930"/>
    <s v="Russell D'Ascenzo"/>
    <x v="0"/>
    <s v="United States"/>
    <x v="144"/>
    <x v="5"/>
    <x v="3"/>
    <s v="FUR-FU-10000758"/>
    <x v="0"/>
    <x v="3"/>
    <s v="DAX Natural Wood-Tone Poster Frame"/>
    <n v="31.776"/>
    <n v="3"/>
    <n v="-19.0656"/>
    <x v="4"/>
    <x v="1"/>
  </r>
  <r>
    <s v="CA-2016-123050"/>
    <x v="804"/>
    <d v="2016-04-08T00:00:00"/>
    <x v="0"/>
    <s v="BC-11125"/>
    <s v="Becky Castell"/>
    <x v="2"/>
    <s v="United States"/>
    <x v="8"/>
    <x v="7"/>
    <x v="2"/>
    <s v="FUR-FU-10000723"/>
    <x v="0"/>
    <x v="3"/>
    <s v="Deflect-o EconoMat Studded, No Bevel Mat for Low Pile Carpeting"/>
    <n v="82.64"/>
    <n v="2"/>
    <n v="7.4375999999999998"/>
    <x v="4"/>
    <x v="6"/>
  </r>
  <r>
    <s v="CA-2016-162355"/>
    <x v="805"/>
    <d v="2016-07-02T00:00:00"/>
    <x v="0"/>
    <s v="PF-19165"/>
    <s v="Philip Fox"/>
    <x v="0"/>
    <s v="United States"/>
    <x v="244"/>
    <x v="24"/>
    <x v="0"/>
    <s v="FUR-BO-10004695"/>
    <x v="0"/>
    <x v="0"/>
    <s v="O'Sullivan 2-Door Barrister Bookcase in Odessa Pine"/>
    <n v="1266.8599999999999"/>
    <n v="7"/>
    <n v="291.37779999999998"/>
    <x v="3"/>
    <x v="2"/>
  </r>
  <r>
    <s v="CA-2017-102204"/>
    <x v="806"/>
    <d v="2017-05-06T00:00:00"/>
    <x v="1"/>
    <s v="CJ-12010"/>
    <s v="Caroline Jumper"/>
    <x v="0"/>
    <s v="United States"/>
    <x v="51"/>
    <x v="1"/>
    <x v="0"/>
    <s v="FUR-TA-10001889"/>
    <x v="0"/>
    <x v="2"/>
    <s v="Bush Advantage Collection Racetrack Conference Table"/>
    <n v="933.26199999999994"/>
    <n v="4"/>
    <n v="-458.14679999999998"/>
    <x v="2"/>
    <x v="7"/>
  </r>
  <r>
    <s v="CA-2017-102204"/>
    <x v="806"/>
    <d v="2017-05-06T00:00:00"/>
    <x v="1"/>
    <s v="CJ-12010"/>
    <s v="Caroline Jumper"/>
    <x v="0"/>
    <s v="United States"/>
    <x v="51"/>
    <x v="1"/>
    <x v="0"/>
    <s v="FUR-CH-10002024"/>
    <x v="0"/>
    <x v="1"/>
    <s v="HON 5400 Series Task Chairs for Big and Tall"/>
    <n v="2803.92"/>
    <n v="5"/>
    <n v="0"/>
    <x v="2"/>
    <x v="7"/>
  </r>
  <r>
    <s v="CA-2017-103065"/>
    <x v="71"/>
    <d v="2017-10-20T00:00:00"/>
    <x v="3"/>
    <s v="PT-19090"/>
    <s v="Pete Takahito"/>
    <x v="0"/>
    <s v="United States"/>
    <x v="51"/>
    <x v="1"/>
    <x v="0"/>
    <s v="FUR-FU-10000175"/>
    <x v="0"/>
    <x v="3"/>
    <s v="DAX Wood Document Frame."/>
    <n v="43.936"/>
    <n v="4"/>
    <n v="6.0411999999999999"/>
    <x v="7"/>
    <x v="1"/>
  </r>
  <r>
    <s v="CA-2014-109897"/>
    <x v="807"/>
    <d v="2014-08-16T00:00:00"/>
    <x v="1"/>
    <s v="BW-11200"/>
    <s v="Ben Wallace"/>
    <x v="0"/>
    <s v="United States"/>
    <x v="28"/>
    <x v="2"/>
    <x v="1"/>
    <s v="FUR-FU-10002878"/>
    <x v="0"/>
    <x v="3"/>
    <s v="Seth Thomas 14&quot; Day/Date Wall Clock"/>
    <n v="85.44"/>
    <n v="3"/>
    <n v="31.6128"/>
    <x v="4"/>
    <x v="10"/>
  </r>
  <r>
    <s v="CA-2015-140221"/>
    <x v="298"/>
    <d v="2015-03-09T00:00:00"/>
    <x v="0"/>
    <s v="MS-17365"/>
    <s v="Maribeth Schnelling"/>
    <x v="0"/>
    <s v="United States"/>
    <x v="9"/>
    <x v="8"/>
    <x v="3"/>
    <s v="FUR-FU-10000023"/>
    <x v="0"/>
    <x v="3"/>
    <s v="Eldon Wave Desk Accessories"/>
    <n v="4.7119999999999997"/>
    <n v="2"/>
    <n v="-1.8848"/>
    <x v="4"/>
    <x v="9"/>
  </r>
  <r>
    <s v="CA-2017-121790"/>
    <x v="129"/>
    <d v="2017-02-06T00:00:00"/>
    <x v="1"/>
    <s v="LP-17095"/>
    <s v="Liz Preis"/>
    <x v="0"/>
    <s v="United States"/>
    <x v="14"/>
    <x v="8"/>
    <x v="3"/>
    <s v="FUR-TA-10003469"/>
    <x v="0"/>
    <x v="2"/>
    <s v="Balt Split Level Computer Training Table"/>
    <n v="69.375"/>
    <n v="1"/>
    <n v="-47.174999999999997"/>
    <x v="1"/>
    <x v="8"/>
  </r>
  <r>
    <s v="CA-2016-169670"/>
    <x v="683"/>
    <d v="2016-12-31T00:00:00"/>
    <x v="1"/>
    <s v="JE-15715"/>
    <s v="Joe Elijah"/>
    <x v="0"/>
    <s v="United States"/>
    <x v="13"/>
    <x v="7"/>
    <x v="2"/>
    <s v="FUR-CH-10002331"/>
    <x v="0"/>
    <x v="1"/>
    <s v="Hon 4700 Series Mobuis Mid-Back Task Chairs with Adjustable Arms"/>
    <n v="2563.056"/>
    <n v="8"/>
    <n v="313.26240000000001"/>
    <x v="6"/>
    <x v="5"/>
  </r>
  <r>
    <s v="CA-2016-139549"/>
    <x v="697"/>
    <d v="2016-10-25T00:00:00"/>
    <x v="1"/>
    <s v="MY-18295"/>
    <s v="Muhammed Yedwab"/>
    <x v="1"/>
    <s v="United States"/>
    <x v="311"/>
    <x v="2"/>
    <x v="1"/>
    <s v="FUR-CH-10001802"/>
    <x v="0"/>
    <x v="1"/>
    <s v="Hon Every-Day Chair Series Swivel Task Chairs"/>
    <n v="387.13600000000002"/>
    <n v="4"/>
    <n v="4.8391999999999999"/>
    <x v="2"/>
    <x v="1"/>
  </r>
  <r>
    <s v="CA-2017-134810"/>
    <x v="808"/>
    <d v="2017-05-10T00:00:00"/>
    <x v="2"/>
    <s v="MC-17605"/>
    <s v="Matt Connell"/>
    <x v="1"/>
    <s v="United States"/>
    <x v="51"/>
    <x v="30"/>
    <x v="0"/>
    <s v="FUR-CH-10001270"/>
    <x v="0"/>
    <x v="1"/>
    <s v="Harbour Creations Steel Folding Chair"/>
    <n v="207"/>
    <n v="3"/>
    <n v="25.875"/>
    <x v="5"/>
    <x v="7"/>
  </r>
  <r>
    <s v="CA-2015-154284"/>
    <x v="170"/>
    <d v="2015-12-26T00:00:00"/>
    <x v="0"/>
    <s v="SZ-20035"/>
    <s v="Sam Zeldin"/>
    <x v="2"/>
    <s v="United States"/>
    <x v="317"/>
    <x v="8"/>
    <x v="3"/>
    <s v="FUR-FU-10003039"/>
    <x v="0"/>
    <x v="3"/>
    <s v="Howard Miller 11-1/2&quot; Diameter Grantwood Wall Clock"/>
    <n v="51.756"/>
    <n v="3"/>
    <n v="-33.641399999999997"/>
    <x v="2"/>
    <x v="5"/>
  </r>
  <r>
    <s v="US-2015-158911"/>
    <x v="379"/>
    <d v="2015-07-11T00:00:00"/>
    <x v="1"/>
    <s v="RS-19765"/>
    <s v="Roland Schwarz"/>
    <x v="1"/>
    <s v="United States"/>
    <x v="127"/>
    <x v="30"/>
    <x v="0"/>
    <s v="FUR-FU-10003829"/>
    <x v="0"/>
    <x v="3"/>
    <s v="Stackable Trays"/>
    <n v="4.9279999999999999"/>
    <n v="2"/>
    <n v="0.73919999999999997"/>
    <x v="6"/>
    <x v="3"/>
  </r>
  <r>
    <s v="US-2017-167318"/>
    <x v="809"/>
    <d v="2017-08-01T00:00:00"/>
    <x v="1"/>
    <s v="GZ-14545"/>
    <s v="George Zrebassa"/>
    <x v="1"/>
    <s v="United States"/>
    <x v="2"/>
    <x v="2"/>
    <x v="1"/>
    <s v="FUR-CH-10000665"/>
    <x v="0"/>
    <x v="1"/>
    <s v="Global Airflow Leather Mesh Back Chair, Black"/>
    <n v="362.35199999999998"/>
    <n v="3"/>
    <n v="45.293999999999997"/>
    <x v="6"/>
    <x v="3"/>
  </r>
  <r>
    <s v="CA-2017-135419"/>
    <x v="54"/>
    <d v="2017-11-09T00:00:00"/>
    <x v="1"/>
    <s v="BG-11740"/>
    <s v="Bruce Geld"/>
    <x v="0"/>
    <s v="United States"/>
    <x v="175"/>
    <x v="2"/>
    <x v="1"/>
    <s v="FUR-TA-10001086"/>
    <x v="0"/>
    <x v="2"/>
    <s v="SAFCO PlanMaster Boards, 60w x 37-1/2d, White Melamine"/>
    <n v="486.36799999999999"/>
    <n v="4"/>
    <n v="36.477600000000002"/>
    <x v="6"/>
    <x v="0"/>
  </r>
  <r>
    <s v="CA-2014-168312"/>
    <x v="29"/>
    <d v="2014-03-07T00:00:00"/>
    <x v="1"/>
    <s v="GW-14605"/>
    <s v="Giulietta Weimer"/>
    <x v="0"/>
    <s v="United States"/>
    <x v="6"/>
    <x v="5"/>
    <x v="3"/>
    <s v="FUR-TA-10001866"/>
    <x v="0"/>
    <x v="2"/>
    <s v="Bevis Round Conference Room Tables and Bases"/>
    <n v="376.50900000000001"/>
    <n v="3"/>
    <n v="-43.029600000000002"/>
    <x v="6"/>
    <x v="9"/>
  </r>
  <r>
    <s v="US-2017-105935"/>
    <x v="810"/>
    <d v="2017-01-31T00:00:00"/>
    <x v="1"/>
    <s v="BD-11500"/>
    <s v="Bradley Drucker"/>
    <x v="0"/>
    <s v="United States"/>
    <x v="29"/>
    <x v="24"/>
    <x v="0"/>
    <s v="FUR-FU-10002157"/>
    <x v="0"/>
    <x v="3"/>
    <s v="Artistic Insta-Plaque"/>
    <n v="62.72"/>
    <n v="4"/>
    <n v="24.460799999999999"/>
    <x v="2"/>
    <x v="8"/>
  </r>
  <r>
    <s v="CA-2014-161508"/>
    <x v="56"/>
    <d v="2014-07-16T00:00:00"/>
    <x v="1"/>
    <s v="PV-18985"/>
    <s v="Paul Van Hugh"/>
    <x v="2"/>
    <s v="United States"/>
    <x v="256"/>
    <x v="5"/>
    <x v="3"/>
    <s v="FUR-CH-10002126"/>
    <x v="0"/>
    <x v="1"/>
    <s v="Hon Deluxe Fabric Upholstered Stacking Chairs"/>
    <n v="512.35799999999995"/>
    <n v="3"/>
    <n v="-14.6388"/>
    <x v="4"/>
    <x v="3"/>
  </r>
  <r>
    <s v="CA-2016-153269"/>
    <x v="811"/>
    <d v="2016-03-12T00:00:00"/>
    <x v="2"/>
    <s v="PS-18760"/>
    <s v="Pamela Stobb"/>
    <x v="0"/>
    <s v="United States"/>
    <x v="341"/>
    <x v="20"/>
    <x v="2"/>
    <s v="FUR-CH-10002647"/>
    <x v="0"/>
    <x v="1"/>
    <s v="Situations Contoured Folding Chairs, 4/Set"/>
    <n v="354.9"/>
    <n v="5"/>
    <n v="88.724999999999994"/>
    <x v="0"/>
    <x v="9"/>
  </r>
  <r>
    <s v="CA-2017-135076"/>
    <x v="812"/>
    <d v="2017-04-17T00:00:00"/>
    <x v="1"/>
    <s v="YS-21880"/>
    <s v="Yana Sorensen"/>
    <x v="1"/>
    <s v="United States"/>
    <x v="170"/>
    <x v="2"/>
    <x v="1"/>
    <s v="FUR-CH-10003774"/>
    <x v="0"/>
    <x v="1"/>
    <s v="Global Wood Trimmed Manager's Task Chair, Khaki"/>
    <n v="436.70400000000001"/>
    <n v="6"/>
    <n v="-38.211599999999997"/>
    <x v="4"/>
    <x v="6"/>
  </r>
  <r>
    <s v="US-2014-155544"/>
    <x v="813"/>
    <d v="2014-03-25T00:00:00"/>
    <x v="1"/>
    <s v="GM-14440"/>
    <s v="Gary McGarr"/>
    <x v="0"/>
    <s v="United States"/>
    <x v="270"/>
    <x v="9"/>
    <x v="0"/>
    <s v="FUR-FU-10001473"/>
    <x v="0"/>
    <x v="3"/>
    <s v="DAX Wood Document Frame"/>
    <n v="32.951999999999998"/>
    <n v="3"/>
    <n v="6.5903999999999998"/>
    <x v="4"/>
    <x v="9"/>
  </r>
  <r>
    <s v="US-2014-155544"/>
    <x v="813"/>
    <d v="2014-03-25T00:00:00"/>
    <x v="1"/>
    <s v="GM-14440"/>
    <s v="Gary McGarr"/>
    <x v="0"/>
    <s v="United States"/>
    <x v="270"/>
    <x v="9"/>
    <x v="0"/>
    <s v="FUR-CH-10000422"/>
    <x v="0"/>
    <x v="1"/>
    <s v="Global Highback Leather Tilter in Burgundy"/>
    <n v="218.376"/>
    <n v="3"/>
    <n v="-10.918799999999999"/>
    <x v="4"/>
    <x v="9"/>
  </r>
  <r>
    <s v="US-2015-115238"/>
    <x v="11"/>
    <d v="2015-05-04T00:00:00"/>
    <x v="1"/>
    <s v="JW-15220"/>
    <s v="Jane Waco"/>
    <x v="1"/>
    <s v="United States"/>
    <x v="37"/>
    <x v="20"/>
    <x v="2"/>
    <s v="FUR-FU-10002960"/>
    <x v="0"/>
    <x v="3"/>
    <s v="Eldon 200 Class Desk Accessories, Burgundy"/>
    <n v="31.4"/>
    <n v="5"/>
    <n v="13.188000000000001"/>
    <x v="4"/>
    <x v="6"/>
  </r>
  <r>
    <s v="US-2015-115238"/>
    <x v="11"/>
    <d v="2015-05-04T00:00:00"/>
    <x v="1"/>
    <s v="JW-15220"/>
    <s v="Jane Waco"/>
    <x v="1"/>
    <s v="United States"/>
    <x v="37"/>
    <x v="20"/>
    <x v="2"/>
    <s v="FUR-FU-10002445"/>
    <x v="0"/>
    <x v="3"/>
    <s v="DAX Two-Tone Rosewood/Black Document Frame, Desktop, 5 x 7"/>
    <n v="9.48"/>
    <n v="1"/>
    <n v="3.7919999999999998"/>
    <x v="4"/>
    <x v="6"/>
  </r>
  <r>
    <s v="US-2015-115238"/>
    <x v="11"/>
    <d v="2015-05-04T00:00:00"/>
    <x v="1"/>
    <s v="JW-15220"/>
    <s v="Jane Waco"/>
    <x v="1"/>
    <s v="United States"/>
    <x v="37"/>
    <x v="20"/>
    <x v="2"/>
    <s v="FUR-FU-10001025"/>
    <x v="0"/>
    <x v="3"/>
    <s v="Eldon Imˆge Series Desk Accessories, Clear"/>
    <n v="24.3"/>
    <n v="5"/>
    <n v="10.449"/>
    <x v="4"/>
    <x v="6"/>
  </r>
  <r>
    <s v="CA-2017-132199"/>
    <x v="814"/>
    <d v="2017-05-08T00:00:00"/>
    <x v="1"/>
    <s v="BO-11350"/>
    <s v="Bill Overfelt"/>
    <x v="1"/>
    <s v="United States"/>
    <x v="3"/>
    <x v="3"/>
    <x v="2"/>
    <s v="FUR-FU-10004245"/>
    <x v="0"/>
    <x v="3"/>
    <s v="Career Cubicle Clock, 8 1/4&quot;, Black"/>
    <n v="32.448"/>
    <n v="2"/>
    <n v="7.3007999999999997"/>
    <x v="2"/>
    <x v="7"/>
  </r>
  <r>
    <s v="CA-2017-132199"/>
    <x v="814"/>
    <d v="2017-05-08T00:00:00"/>
    <x v="1"/>
    <s v="BO-11350"/>
    <s v="Bill Overfelt"/>
    <x v="1"/>
    <s v="United States"/>
    <x v="3"/>
    <x v="3"/>
    <x v="2"/>
    <s v="FUR-TA-10003748"/>
    <x v="0"/>
    <x v="2"/>
    <s v="Bevis 36 x 72 Conference Tables"/>
    <n v="373.47"/>
    <n v="5"/>
    <n v="-112.041"/>
    <x v="2"/>
    <x v="7"/>
  </r>
  <r>
    <s v="CA-2016-163174"/>
    <x v="238"/>
    <d v="2016-08-30T00:00:00"/>
    <x v="1"/>
    <s v="XP-21865"/>
    <s v="Xylona Preis"/>
    <x v="0"/>
    <s v="United States"/>
    <x v="342"/>
    <x v="24"/>
    <x v="0"/>
    <s v="FUR-FU-10000308"/>
    <x v="0"/>
    <x v="3"/>
    <s v="Deflect-o Glass Clear Studded Chair Mats"/>
    <n v="186.54"/>
    <n v="3"/>
    <n v="41.038800000000002"/>
    <x v="4"/>
    <x v="10"/>
  </r>
  <r>
    <s v="CA-2017-147207"/>
    <x v="815"/>
    <d v="2017-01-04T00:00:00"/>
    <x v="0"/>
    <s v="TS-21655"/>
    <s v="Trudy Schmidt"/>
    <x v="0"/>
    <s v="United States"/>
    <x v="116"/>
    <x v="5"/>
    <x v="3"/>
    <s v="FUR-TA-10002958"/>
    <x v="0"/>
    <x v="2"/>
    <s v="Bevis Oval Conference Table, Walnut"/>
    <n v="913.43"/>
    <n v="5"/>
    <n v="-169.637"/>
    <x v="3"/>
    <x v="8"/>
  </r>
  <r>
    <s v="CA-2016-118745"/>
    <x v="354"/>
    <d v="2016-06-16T00:00:00"/>
    <x v="1"/>
    <s v="SV-20365"/>
    <s v="Seth Vernon"/>
    <x v="0"/>
    <s v="United States"/>
    <x v="2"/>
    <x v="2"/>
    <x v="1"/>
    <s v="FUR-TA-10003473"/>
    <x v="0"/>
    <x v="2"/>
    <s v="Bretford Rectangular Conference Table Tops"/>
    <n v="902.71199999999999"/>
    <n v="3"/>
    <n v="33.851700000000001"/>
    <x v="2"/>
    <x v="2"/>
  </r>
  <r>
    <s v="CA-2016-163972"/>
    <x v="816"/>
    <d v="2016-10-21T00:00:00"/>
    <x v="1"/>
    <s v="MG-17890"/>
    <s v="Michael Granlund"/>
    <x v="2"/>
    <s v="United States"/>
    <x v="99"/>
    <x v="2"/>
    <x v="1"/>
    <s v="FUR-BO-10003894"/>
    <x v="0"/>
    <x v="0"/>
    <s v="Safco Value Mate Steel Bookcase, Baked Enamel Finish on Steel, Black"/>
    <n v="120.666"/>
    <n v="2"/>
    <n v="21.294"/>
    <x v="4"/>
    <x v="1"/>
  </r>
  <r>
    <s v="CA-2016-113726"/>
    <x v="243"/>
    <d v="2016-12-01T00:00:00"/>
    <x v="1"/>
    <s v="SC-20680"/>
    <s v="Steve Carroll"/>
    <x v="2"/>
    <s v="United States"/>
    <x v="15"/>
    <x v="13"/>
    <x v="1"/>
    <s v="FUR-FU-10003535"/>
    <x v="0"/>
    <x v="3"/>
    <s v="Howard Miller Distant Time Traveler Alarm Clock"/>
    <n v="82.26"/>
    <n v="3"/>
    <n v="33.726599999999998"/>
    <x v="1"/>
    <x v="0"/>
  </r>
  <r>
    <s v="CA-2016-163048"/>
    <x v="817"/>
    <d v="2016-02-15T00:00:00"/>
    <x v="1"/>
    <s v="MH-17440"/>
    <s v="Mark Haberlin"/>
    <x v="1"/>
    <s v="United States"/>
    <x v="6"/>
    <x v="5"/>
    <x v="3"/>
    <s v="FUR-CH-10001270"/>
    <x v="0"/>
    <x v="1"/>
    <s v="Harbour Creations Steel Folding Chair"/>
    <n v="241.5"/>
    <n v="4"/>
    <n v="0"/>
    <x v="1"/>
    <x v="11"/>
  </r>
  <r>
    <s v="CA-2017-110625"/>
    <x v="340"/>
    <d v="2017-12-30T00:00:00"/>
    <x v="1"/>
    <s v="JB-16045"/>
    <s v="Julia Barnett"/>
    <x v="2"/>
    <s v="United States"/>
    <x v="343"/>
    <x v="19"/>
    <x v="2"/>
    <s v="FUR-FU-10001473"/>
    <x v="0"/>
    <x v="3"/>
    <s v="DAX Wood Document Frame"/>
    <n v="27.46"/>
    <n v="2"/>
    <n v="9.8856000000000002"/>
    <x v="1"/>
    <x v="5"/>
  </r>
  <r>
    <s v="CA-2016-142594"/>
    <x v="193"/>
    <d v="2016-12-06T00:00:00"/>
    <x v="0"/>
    <s v="EJ-14155"/>
    <s v="Eva Jacobs"/>
    <x v="0"/>
    <s v="United States"/>
    <x v="20"/>
    <x v="20"/>
    <x v="2"/>
    <s v="FUR-FU-10002045"/>
    <x v="0"/>
    <x v="3"/>
    <s v="Executive Impressions 14&quot;"/>
    <n v="111.15"/>
    <n v="5"/>
    <n v="48.905999999999999"/>
    <x v="2"/>
    <x v="5"/>
  </r>
  <r>
    <s v="CA-2016-142594"/>
    <x v="193"/>
    <d v="2016-12-06T00:00:00"/>
    <x v="0"/>
    <s v="EJ-14155"/>
    <s v="Eva Jacobs"/>
    <x v="0"/>
    <s v="United States"/>
    <x v="20"/>
    <x v="20"/>
    <x v="2"/>
    <s v="FUR-TA-10001095"/>
    <x v="0"/>
    <x v="2"/>
    <s v="Chromcraft Round Conference Tables"/>
    <n v="366.00900000000001"/>
    <n v="3"/>
    <n v="-47.058300000000003"/>
    <x v="2"/>
    <x v="5"/>
  </r>
  <r>
    <s v="CA-2017-120061"/>
    <x v="575"/>
    <d v="2017-11-07T00:00:00"/>
    <x v="0"/>
    <s v="SR-20425"/>
    <s v="Sharelle Roach"/>
    <x v="2"/>
    <s v="United States"/>
    <x v="76"/>
    <x v="15"/>
    <x v="2"/>
    <s v="FUR-CH-10001973"/>
    <x v="0"/>
    <x v="1"/>
    <s v="Office Star Flex Back Scooter Chair with White Frame"/>
    <n v="155.37200000000001"/>
    <n v="2"/>
    <n v="-35.513599999999997"/>
    <x v="2"/>
    <x v="0"/>
  </r>
  <r>
    <s v="CA-2015-110814"/>
    <x v="482"/>
    <d v="2015-12-09T00:00:00"/>
    <x v="0"/>
    <s v="BD-11635"/>
    <s v="Brian Derr"/>
    <x v="0"/>
    <s v="United States"/>
    <x v="13"/>
    <x v="7"/>
    <x v="2"/>
    <s v="FUR-CH-10003535"/>
    <x v="0"/>
    <x v="1"/>
    <s v="Global Armless Task Chair, Royal Blue"/>
    <n v="164.64599999999999"/>
    <n v="3"/>
    <n v="12.8058"/>
    <x v="4"/>
    <x v="5"/>
  </r>
  <r>
    <s v="CA-2017-140480"/>
    <x v="220"/>
    <d v="2017-07-12T00:00:00"/>
    <x v="1"/>
    <s v="HE-14800"/>
    <s v="Harold Engle"/>
    <x v="1"/>
    <s v="United States"/>
    <x v="19"/>
    <x v="14"/>
    <x v="2"/>
    <s v="FUR-FU-10003247"/>
    <x v="0"/>
    <x v="3"/>
    <s v="36X48 HARDFLOOR CHAIRMAT"/>
    <n v="83.92"/>
    <n v="4"/>
    <n v="5.8743999999999996"/>
    <x v="4"/>
    <x v="3"/>
  </r>
  <r>
    <s v="CA-2017-140480"/>
    <x v="220"/>
    <d v="2017-07-12T00:00:00"/>
    <x v="1"/>
    <s v="HE-14800"/>
    <s v="Harold Engle"/>
    <x v="1"/>
    <s v="United States"/>
    <x v="19"/>
    <x v="14"/>
    <x v="2"/>
    <s v="FUR-FU-10001057"/>
    <x v="0"/>
    <x v="3"/>
    <s v="Tensor Track Tree Floor Lamp"/>
    <n v="39.979999999999997"/>
    <n v="2"/>
    <n v="9.1953999999999994"/>
    <x v="4"/>
    <x v="3"/>
  </r>
  <r>
    <s v="CA-2016-130820"/>
    <x v="818"/>
    <d v="2016-11-15T00:00:00"/>
    <x v="3"/>
    <s v="ON-18715"/>
    <s v="Odella Nelson"/>
    <x v="1"/>
    <s v="United States"/>
    <x v="259"/>
    <x v="30"/>
    <x v="0"/>
    <s v="FUR-TA-10001768"/>
    <x v="0"/>
    <x v="2"/>
    <s v="Hon Racetrack Conference Tables"/>
    <n v="630.024"/>
    <n v="4"/>
    <n v="-199.5076"/>
    <x v="7"/>
    <x v="0"/>
  </r>
  <r>
    <s v="CA-2017-132290"/>
    <x v="203"/>
    <d v="2017-03-14T00:00:00"/>
    <x v="1"/>
    <s v="MD-17350"/>
    <s v="Maribeth Dona"/>
    <x v="0"/>
    <s v="United States"/>
    <x v="144"/>
    <x v="5"/>
    <x v="3"/>
    <s v="FUR-TA-10002228"/>
    <x v="0"/>
    <x v="2"/>
    <s v="Bevis Traditional Conference Table Top, Plinth Base"/>
    <n v="933.40800000000002"/>
    <n v="4"/>
    <n v="-173.34719999999999"/>
    <x v="4"/>
    <x v="9"/>
  </r>
  <r>
    <s v="CA-2017-118199"/>
    <x v="808"/>
    <d v="2017-05-11T00:00:00"/>
    <x v="2"/>
    <s v="LB-16795"/>
    <s v="Laurel Beltran"/>
    <x v="2"/>
    <s v="United States"/>
    <x v="15"/>
    <x v="13"/>
    <x v="1"/>
    <s v="FUR-TA-10004154"/>
    <x v="0"/>
    <x v="2"/>
    <s v="Riverside Furniture Oval Coffee Table, Oval End Table, End Table with Drawer"/>
    <n v="286.85000000000002"/>
    <n v="1"/>
    <n v="63.106999999999999"/>
    <x v="3"/>
    <x v="7"/>
  </r>
  <r>
    <s v="CA-2017-150091"/>
    <x v="176"/>
    <d v="2017-10-16T00:00:00"/>
    <x v="1"/>
    <s v="NP-18670"/>
    <s v="Nora Paige"/>
    <x v="0"/>
    <s v="United States"/>
    <x v="174"/>
    <x v="18"/>
    <x v="2"/>
    <s v="FUR-FU-10004053"/>
    <x v="0"/>
    <x v="3"/>
    <s v="DAX Two-Tone Silver Metal Document Frame"/>
    <n v="40.479999999999997"/>
    <n v="2"/>
    <n v="17.406400000000001"/>
    <x v="4"/>
    <x v="1"/>
  </r>
  <r>
    <s v="CA-2017-150091"/>
    <x v="176"/>
    <d v="2017-10-16T00:00:00"/>
    <x v="1"/>
    <s v="NP-18670"/>
    <s v="Nora Paige"/>
    <x v="0"/>
    <s v="United States"/>
    <x v="174"/>
    <x v="18"/>
    <x v="2"/>
    <s v="FUR-BO-10003404"/>
    <x v="0"/>
    <x v="0"/>
    <s v="Global Adaptabilites Bookcase, Cherry/Storm Gray Finish"/>
    <n v="2154.9"/>
    <n v="5"/>
    <n v="129.29400000000001"/>
    <x v="4"/>
    <x v="1"/>
  </r>
  <r>
    <s v="CA-2016-118129"/>
    <x v="645"/>
    <d v="2016-12-21T00:00:00"/>
    <x v="0"/>
    <s v="CL-12565"/>
    <s v="Clay Ludtke"/>
    <x v="0"/>
    <s v="United States"/>
    <x v="288"/>
    <x v="3"/>
    <x v="2"/>
    <s v="FUR-FU-10004904"/>
    <x v="0"/>
    <x v="3"/>
    <s v="Eldon &quot;L&quot; Workstation Diamond Chairmat"/>
    <n v="303.92"/>
    <n v="5"/>
    <n v="-30.391999999999999"/>
    <x v="3"/>
    <x v="5"/>
  </r>
  <r>
    <s v="CA-2017-155621"/>
    <x v="819"/>
    <d v="2017-11-13T00:00:00"/>
    <x v="1"/>
    <s v="KN-16450"/>
    <s v="Kean Nguyen"/>
    <x v="1"/>
    <s v="United States"/>
    <x v="237"/>
    <x v="32"/>
    <x v="2"/>
    <s v="FUR-FU-10003535"/>
    <x v="0"/>
    <x v="3"/>
    <s v="Howard Miller Distant Time Traveler Alarm Clock"/>
    <n v="274.2"/>
    <n v="10"/>
    <n v="112.422"/>
    <x v="2"/>
    <x v="0"/>
  </r>
  <r>
    <s v="US-2014-127635"/>
    <x v="94"/>
    <d v="2014-09-18T00:00:00"/>
    <x v="0"/>
    <s v="SC-20260"/>
    <s v="Scott Cohen"/>
    <x v="1"/>
    <s v="United States"/>
    <x v="177"/>
    <x v="5"/>
    <x v="3"/>
    <s v="FUR-FU-10000550"/>
    <x v="0"/>
    <x v="3"/>
    <s v="Stacking Trays by OIC"/>
    <n v="9.9600000000000009"/>
    <n v="5"/>
    <n v="-6.7229999999999999"/>
    <x v="4"/>
    <x v="4"/>
  </r>
  <r>
    <s v="CA-2017-125451"/>
    <x v="409"/>
    <d v="2017-10-24T00:00:00"/>
    <x v="2"/>
    <s v="AH-10075"/>
    <s v="Adam Hart"/>
    <x v="1"/>
    <s v="United States"/>
    <x v="236"/>
    <x v="38"/>
    <x v="2"/>
    <s v="FUR-TA-10001039"/>
    <x v="0"/>
    <x v="2"/>
    <s v="KI Adjustable-Height Table"/>
    <n v="240.744"/>
    <n v="4"/>
    <n v="-13.7568"/>
    <x v="5"/>
    <x v="1"/>
  </r>
  <r>
    <s v="CA-2017-125451"/>
    <x v="409"/>
    <d v="2017-10-24T00:00:00"/>
    <x v="2"/>
    <s v="AH-10075"/>
    <s v="Adam Hart"/>
    <x v="1"/>
    <s v="United States"/>
    <x v="236"/>
    <x v="38"/>
    <x v="2"/>
    <s v="FUR-FU-10004963"/>
    <x v="0"/>
    <x v="3"/>
    <s v="Eldon 400 Class Desk Accessories, Black Carbon"/>
    <n v="35"/>
    <n v="4"/>
    <n v="14.7"/>
    <x v="5"/>
    <x v="1"/>
  </r>
  <r>
    <s v="CA-2017-125451"/>
    <x v="409"/>
    <d v="2017-10-24T00:00:00"/>
    <x v="2"/>
    <s v="AH-10075"/>
    <s v="Adam Hart"/>
    <x v="1"/>
    <s v="United States"/>
    <x v="236"/>
    <x v="38"/>
    <x v="2"/>
    <s v="FUR-FU-10000277"/>
    <x v="0"/>
    <x v="3"/>
    <s v="Deflect-o DuraMat Antistatic Studded Beveled Mat for Medium Pile Carpeting"/>
    <n v="210.68"/>
    <n v="2"/>
    <n v="50.563200000000002"/>
    <x v="5"/>
    <x v="1"/>
  </r>
  <r>
    <s v="CA-2017-125451"/>
    <x v="409"/>
    <d v="2017-10-24T00:00:00"/>
    <x v="2"/>
    <s v="AH-10075"/>
    <s v="Adam Hart"/>
    <x v="1"/>
    <s v="United States"/>
    <x v="236"/>
    <x v="38"/>
    <x v="2"/>
    <s v="FUR-TA-10004915"/>
    <x v="0"/>
    <x v="2"/>
    <s v="Office Impressions End Table, 20-1/2&quot;H x 24&quot;W x 20&quot;D"/>
    <n v="637.89599999999996"/>
    <n v="3"/>
    <n v="-127.5792"/>
    <x v="5"/>
    <x v="1"/>
  </r>
  <r>
    <s v="CA-2016-125087"/>
    <x v="820"/>
    <d v="2016-04-23T00:00:00"/>
    <x v="1"/>
    <s v="TH-21115"/>
    <s v="Thea Hudgings"/>
    <x v="1"/>
    <s v="United States"/>
    <x v="6"/>
    <x v="5"/>
    <x v="3"/>
    <s v="FUR-CH-10002880"/>
    <x v="0"/>
    <x v="1"/>
    <s v="Global High-Back Leather Tilter, Burgundy"/>
    <n v="344.37200000000001"/>
    <n v="4"/>
    <n v="-93.472399999999993"/>
    <x v="2"/>
    <x v="6"/>
  </r>
  <r>
    <s v="CA-2016-125087"/>
    <x v="820"/>
    <d v="2016-04-23T00:00:00"/>
    <x v="1"/>
    <s v="TH-21115"/>
    <s v="Thea Hudgings"/>
    <x v="1"/>
    <s v="United States"/>
    <x v="6"/>
    <x v="5"/>
    <x v="3"/>
    <s v="FUR-FU-10004748"/>
    <x v="0"/>
    <x v="3"/>
    <s v="Howard Miller 16&quot; Diameter Gallery Wall Clock"/>
    <n v="127.88"/>
    <n v="5"/>
    <n v="-67.137"/>
    <x v="2"/>
    <x v="6"/>
  </r>
  <r>
    <s v="US-2017-118556"/>
    <x v="15"/>
    <d v="2017-06-02T00:00:00"/>
    <x v="0"/>
    <s v="TH-21235"/>
    <s v="Tiffany House"/>
    <x v="1"/>
    <s v="United States"/>
    <x v="9"/>
    <x v="8"/>
    <x v="3"/>
    <s v="FUR-CH-10001146"/>
    <x v="0"/>
    <x v="1"/>
    <s v="Global Task Chair, Black"/>
    <n v="106.869"/>
    <n v="3"/>
    <n v="-29.007300000000001"/>
    <x v="2"/>
    <x v="7"/>
  </r>
  <r>
    <s v="US-2016-164196"/>
    <x v="367"/>
    <d v="2016-11-17T00:00:00"/>
    <x v="1"/>
    <s v="AS-10285"/>
    <s v="Alejandro Savely"/>
    <x v="1"/>
    <s v="United States"/>
    <x v="344"/>
    <x v="6"/>
    <x v="3"/>
    <s v="FUR-TA-10001950"/>
    <x v="0"/>
    <x v="2"/>
    <s v="Balt Solid Wood Round Tables"/>
    <n v="2678.94"/>
    <n v="6"/>
    <n v="241.1046"/>
    <x v="6"/>
    <x v="0"/>
  </r>
  <r>
    <s v="US-2017-132031"/>
    <x v="748"/>
    <d v="2017-04-27T00:00:00"/>
    <x v="1"/>
    <s v="PN-18775"/>
    <s v="Parhena Norris"/>
    <x v="2"/>
    <s v="United States"/>
    <x v="345"/>
    <x v="9"/>
    <x v="0"/>
    <s v="FUR-BO-10001972"/>
    <x v="0"/>
    <x v="0"/>
    <s v="O'Sullivan 4-Shelf Bookcase in Odessa Pine"/>
    <n v="387.13600000000002"/>
    <n v="4"/>
    <n v="-14.5176"/>
    <x v="4"/>
    <x v="6"/>
  </r>
  <r>
    <s v="US-2017-132031"/>
    <x v="748"/>
    <d v="2017-04-27T00:00:00"/>
    <x v="1"/>
    <s v="PN-18775"/>
    <s v="Parhena Norris"/>
    <x v="2"/>
    <s v="United States"/>
    <x v="345"/>
    <x v="9"/>
    <x v="0"/>
    <s v="FUR-FU-10000193"/>
    <x v="0"/>
    <x v="3"/>
    <s v="Tenex Chairmats For Use with Hard Floors"/>
    <n v="77.951999999999998"/>
    <n v="3"/>
    <n v="-11.6928"/>
    <x v="4"/>
    <x v="6"/>
  </r>
  <r>
    <s v="CA-2017-142391"/>
    <x v="118"/>
    <d v="2017-09-24T00:00:00"/>
    <x v="3"/>
    <s v="PB-19150"/>
    <s v="Philip Brown"/>
    <x v="0"/>
    <s v="United States"/>
    <x v="15"/>
    <x v="13"/>
    <x v="1"/>
    <s v="FUR-FU-10002759"/>
    <x v="0"/>
    <x v="3"/>
    <s v="12-1/2 Diameter Round Wall Clock"/>
    <n v="199.8"/>
    <n v="10"/>
    <n v="71.927999999999997"/>
    <x v="7"/>
    <x v="4"/>
  </r>
  <r>
    <s v="CA-2016-158841"/>
    <x v="821"/>
    <d v="2016-02-04T00:00:00"/>
    <x v="0"/>
    <s v="SE-20110"/>
    <s v="Sanjit Engle"/>
    <x v="0"/>
    <s v="United States"/>
    <x v="58"/>
    <x v="25"/>
    <x v="0"/>
    <s v="FUR-FU-10001731"/>
    <x v="0"/>
    <x v="3"/>
    <s v="Acrylic Self-Standing Desk Frames"/>
    <n v="18.690000000000001"/>
    <n v="7"/>
    <n v="7.1021999999999998"/>
    <x v="3"/>
    <x v="11"/>
  </r>
  <r>
    <s v="CA-2015-102316"/>
    <x v="822"/>
    <d v="2015-03-03T00:00:00"/>
    <x v="0"/>
    <s v="DH-13075"/>
    <s v="Dave Hallsten"/>
    <x v="1"/>
    <s v="United States"/>
    <x v="2"/>
    <x v="2"/>
    <x v="1"/>
    <s v="FUR-CH-10003396"/>
    <x v="0"/>
    <x v="1"/>
    <s v="Global Deluxe Steno Chair"/>
    <n v="184.75200000000001"/>
    <n v="3"/>
    <n v="-20.784600000000001"/>
    <x v="3"/>
    <x v="9"/>
  </r>
  <r>
    <s v="CA-2016-109400"/>
    <x v="630"/>
    <d v="2016-05-06T00:00:00"/>
    <x v="1"/>
    <s v="NR-18550"/>
    <s v="Nick Radford"/>
    <x v="0"/>
    <s v="United States"/>
    <x v="45"/>
    <x v="5"/>
    <x v="3"/>
    <s v="FUR-CH-10003298"/>
    <x v="0"/>
    <x v="1"/>
    <s v="Office Star - Contemporary Task Swivel chair with Loop Arms, Charcoal"/>
    <n v="366.74400000000003"/>
    <n v="4"/>
    <n v="-110.0232"/>
    <x v="4"/>
    <x v="7"/>
  </r>
  <r>
    <s v="CA-2016-144645"/>
    <x v="821"/>
    <d v="2016-02-08T00:00:00"/>
    <x v="1"/>
    <s v="NS-18640"/>
    <s v="Noel Staavos"/>
    <x v="1"/>
    <s v="United States"/>
    <x v="6"/>
    <x v="5"/>
    <x v="3"/>
    <s v="FUR-FU-10003601"/>
    <x v="0"/>
    <x v="3"/>
    <s v="Deflect-o RollaMat Studded, Beveled Mat for Medium Pile Carpeting"/>
    <n v="73.784000000000006"/>
    <n v="2"/>
    <n v="-77.473200000000006"/>
    <x v="6"/>
    <x v="11"/>
  </r>
  <r>
    <s v="CA-2017-149720"/>
    <x v="182"/>
    <d v="2017-06-07T00:00:00"/>
    <x v="0"/>
    <s v="EM-14065"/>
    <s v="Erin Mull"/>
    <x v="0"/>
    <s v="United States"/>
    <x v="346"/>
    <x v="5"/>
    <x v="3"/>
    <s v="FUR-FU-10002501"/>
    <x v="0"/>
    <x v="3"/>
    <s v="Nu-Dell Executive Frame"/>
    <n v="30.335999999999999"/>
    <n v="6"/>
    <n v="-17.443200000000001"/>
    <x v="0"/>
    <x v="2"/>
  </r>
  <r>
    <s v="CA-2017-118003"/>
    <x v="423"/>
    <d v="2017-12-10T00:00:00"/>
    <x v="1"/>
    <s v="DO-13645"/>
    <s v="Doug O'Connell"/>
    <x v="0"/>
    <s v="United States"/>
    <x v="309"/>
    <x v="18"/>
    <x v="2"/>
    <s v="FUR-FU-10002506"/>
    <x v="0"/>
    <x v="3"/>
    <s v="Tensor &quot;Hersey Kiss&quot; Styled Floor Lamp"/>
    <n v="12.99"/>
    <n v="1"/>
    <n v="1.5588"/>
    <x v="6"/>
    <x v="5"/>
  </r>
  <r>
    <s v="CA-2017-118003"/>
    <x v="423"/>
    <d v="2017-12-10T00:00:00"/>
    <x v="1"/>
    <s v="DO-13645"/>
    <s v="Doug O'Connell"/>
    <x v="0"/>
    <s v="United States"/>
    <x v="309"/>
    <x v="18"/>
    <x v="2"/>
    <s v="FUR-CH-10003817"/>
    <x v="0"/>
    <x v="1"/>
    <s v="Global Value Steno Chair, Gray"/>
    <n v="182.22"/>
    <n v="3"/>
    <n v="45.555"/>
    <x v="6"/>
    <x v="5"/>
  </r>
  <r>
    <s v="CA-2017-118003"/>
    <x v="423"/>
    <d v="2017-12-10T00:00:00"/>
    <x v="1"/>
    <s v="DO-13645"/>
    <s v="Doug O'Connell"/>
    <x v="0"/>
    <s v="United States"/>
    <x v="309"/>
    <x v="18"/>
    <x v="2"/>
    <s v="FUR-CH-10004860"/>
    <x v="0"/>
    <x v="1"/>
    <s v="Global Low Back Tilter Chair"/>
    <n v="302.94"/>
    <n v="3"/>
    <n v="18.176400000000001"/>
    <x v="6"/>
    <x v="5"/>
  </r>
  <r>
    <s v="CA-2016-141887"/>
    <x v="823"/>
    <d v="2016-01-15T00:00:00"/>
    <x v="1"/>
    <s v="MP-17470"/>
    <s v="Mark Packer"/>
    <x v="2"/>
    <s v="United States"/>
    <x v="29"/>
    <x v="15"/>
    <x v="2"/>
    <s v="FUR-FU-10002268"/>
    <x v="0"/>
    <x v="3"/>
    <s v="Ultra Door Push Plate"/>
    <n v="54.991999999999997"/>
    <n v="14"/>
    <n v="8.9361999999999995"/>
    <x v="4"/>
    <x v="8"/>
  </r>
  <r>
    <s v="CA-2017-161172"/>
    <x v="824"/>
    <d v="2017-03-16T00:00:00"/>
    <x v="3"/>
    <s v="SP-20920"/>
    <s v="Susan Pistek"/>
    <x v="0"/>
    <s v="United States"/>
    <x v="29"/>
    <x v="15"/>
    <x v="2"/>
    <s v="FUR-FU-10003424"/>
    <x v="0"/>
    <x v="3"/>
    <s v="Nu-Dell Oak Frame"/>
    <n v="51.264000000000003"/>
    <n v="6"/>
    <n v="7.6896000000000004"/>
    <x v="7"/>
    <x v="9"/>
  </r>
  <r>
    <s v="CA-2017-137624"/>
    <x v="219"/>
    <d v="2017-11-17T00:00:00"/>
    <x v="1"/>
    <s v="ME-17320"/>
    <s v="Maria Etezadi"/>
    <x v="2"/>
    <s v="United States"/>
    <x v="2"/>
    <x v="2"/>
    <x v="1"/>
    <s v="FUR-CH-10001714"/>
    <x v="0"/>
    <x v="1"/>
    <s v="Global Leather &amp; Oak Executive Chair, Burgundy"/>
    <n v="241.42400000000001"/>
    <n v="2"/>
    <n v="-36.2136"/>
    <x v="1"/>
    <x v="0"/>
  </r>
  <r>
    <s v="CA-2016-156748"/>
    <x v="825"/>
    <d v="2016-12-06T00:00:00"/>
    <x v="1"/>
    <s v="BS-11755"/>
    <s v="Bruce Stewart"/>
    <x v="0"/>
    <s v="United States"/>
    <x v="25"/>
    <x v="17"/>
    <x v="3"/>
    <s v="FUR-CH-10000513"/>
    <x v="0"/>
    <x v="1"/>
    <s v="High-Back Leather Manager's Chair"/>
    <n v="389.97"/>
    <n v="3"/>
    <n v="35.097299999999997"/>
    <x v="6"/>
    <x v="0"/>
  </r>
  <r>
    <s v="CA-2015-157287"/>
    <x v="826"/>
    <d v="2015-12-23T00:00:00"/>
    <x v="2"/>
    <s v="HR-14830"/>
    <s v="Harold Ryan"/>
    <x v="1"/>
    <s v="United States"/>
    <x v="3"/>
    <x v="3"/>
    <x v="2"/>
    <s v="FUR-CH-10001270"/>
    <x v="0"/>
    <x v="1"/>
    <s v="Harbour Creations Steel Folding Chair"/>
    <n v="422.625"/>
    <n v="7"/>
    <n v="0"/>
    <x v="5"/>
    <x v="5"/>
  </r>
  <r>
    <s v="CA-2016-119074"/>
    <x v="827"/>
    <d v="2016-03-31T00:00:00"/>
    <x v="1"/>
    <s v="DS-13180"/>
    <s v="David Smith"/>
    <x v="1"/>
    <s v="United States"/>
    <x v="29"/>
    <x v="24"/>
    <x v="0"/>
    <s v="FUR-FU-10004053"/>
    <x v="0"/>
    <x v="3"/>
    <s v="DAX Two-Tone Silver Metal Document Frame"/>
    <n v="20.239999999999998"/>
    <n v="1"/>
    <n v="8.7032000000000007"/>
    <x v="4"/>
    <x v="9"/>
  </r>
  <r>
    <s v="CA-2016-119074"/>
    <x v="827"/>
    <d v="2016-03-31T00:00:00"/>
    <x v="1"/>
    <s v="DS-13180"/>
    <s v="David Smith"/>
    <x v="1"/>
    <s v="United States"/>
    <x v="29"/>
    <x v="24"/>
    <x v="0"/>
    <s v="FUR-FU-10003731"/>
    <x v="0"/>
    <x v="3"/>
    <s v="Eldon Expressions Wood and Plastic Desk Accessories, Oak"/>
    <n v="39.92"/>
    <n v="4"/>
    <n v="11.1776"/>
    <x v="4"/>
    <x v="9"/>
  </r>
  <r>
    <s v="CA-2015-126186"/>
    <x v="795"/>
    <d v="2015-09-12T00:00:00"/>
    <x v="2"/>
    <s v="GB-14530"/>
    <s v="George Bell"/>
    <x v="1"/>
    <s v="United States"/>
    <x v="14"/>
    <x v="12"/>
    <x v="1"/>
    <s v="FUR-FU-10000073"/>
    <x v="0"/>
    <x v="3"/>
    <s v="Deflect-O Glasstique Clear Desk Accessories"/>
    <n v="24.64"/>
    <n v="4"/>
    <n v="4.0039999999999996"/>
    <x v="5"/>
    <x v="4"/>
  </r>
  <r>
    <s v="CA-2016-102092"/>
    <x v="453"/>
    <d v="2016-12-11T00:00:00"/>
    <x v="2"/>
    <s v="PM-18940"/>
    <s v="Paul MacIntyre"/>
    <x v="0"/>
    <s v="United States"/>
    <x v="76"/>
    <x v="25"/>
    <x v="0"/>
    <s v="FUR-TA-10002530"/>
    <x v="0"/>
    <x v="2"/>
    <s v="Iceberg OfficeWorks 42&quot; Round Tables"/>
    <n v="1056.8599999999999"/>
    <n v="7"/>
    <n v="158.529"/>
    <x v="3"/>
    <x v="5"/>
  </r>
  <r>
    <s v="CA-2016-132829"/>
    <x v="207"/>
    <d v="2016-12-26T00:00:00"/>
    <x v="0"/>
    <s v="LA-16780"/>
    <s v="Laura Armstrong"/>
    <x v="1"/>
    <s v="United States"/>
    <x v="6"/>
    <x v="5"/>
    <x v="3"/>
    <s v="FUR-FU-10000206"/>
    <x v="0"/>
    <x v="3"/>
    <s v="GE General Purpose, Extra Long Life, Showcase &amp; Floodlight Incandescent Bulbs"/>
    <n v="2.3279999999999998"/>
    <n v="2"/>
    <n v="-0.75660000000000005"/>
    <x v="0"/>
    <x v="5"/>
  </r>
  <r>
    <s v="CA-2016-123540"/>
    <x v="828"/>
    <d v="2016-04-06T00:00:00"/>
    <x v="0"/>
    <s v="DJ-13420"/>
    <s v="Denny Joy"/>
    <x v="1"/>
    <s v="United States"/>
    <x v="79"/>
    <x v="16"/>
    <x v="3"/>
    <s v="FUR-CH-10000847"/>
    <x v="0"/>
    <x v="1"/>
    <s v="Global Executive Mid-Back Manager's Chair"/>
    <n v="1454.9"/>
    <n v="5"/>
    <n v="378.274"/>
    <x v="4"/>
    <x v="6"/>
  </r>
  <r>
    <s v="US-2017-108315"/>
    <x v="393"/>
    <d v="2017-05-04T00:00:00"/>
    <x v="1"/>
    <s v="MH-18115"/>
    <s v="Mick Hernandez"/>
    <x v="2"/>
    <s v="United States"/>
    <x v="347"/>
    <x v="1"/>
    <x v="0"/>
    <s v="FUR-FU-10000747"/>
    <x v="0"/>
    <x v="3"/>
    <s v="Tenex B1-RE Series Chair Mats for Low Pile Carpets"/>
    <n v="220.70400000000001"/>
    <n v="6"/>
    <n v="-8.2764000000000006"/>
    <x v="4"/>
    <x v="6"/>
  </r>
  <r>
    <s v="CA-2017-106747"/>
    <x v="209"/>
    <d v="2017-07-04T00:00:00"/>
    <x v="2"/>
    <s v="TS-21505"/>
    <s v="Tony Sayre"/>
    <x v="0"/>
    <s v="United States"/>
    <x v="41"/>
    <x v="28"/>
    <x v="2"/>
    <s v="FUR-FU-10004188"/>
    <x v="0"/>
    <x v="3"/>
    <s v="Luxo Professional Combination Clamp-On Lamps"/>
    <n v="102.3"/>
    <n v="1"/>
    <n v="26.597999999999999"/>
    <x v="5"/>
    <x v="3"/>
  </r>
  <r>
    <s v="CA-2017-146164"/>
    <x v="313"/>
    <d v="2017-12-26T00:00:00"/>
    <x v="1"/>
    <s v="CM-12190"/>
    <s v="Charlotte Melton"/>
    <x v="0"/>
    <s v="United States"/>
    <x v="77"/>
    <x v="11"/>
    <x v="3"/>
    <s v="FUR-TA-10004915"/>
    <x v="0"/>
    <x v="2"/>
    <s v="Office Impressions End Table, 20-1/2&quot;H x 24&quot;W x 20&quot;D"/>
    <n v="607.52"/>
    <n v="2"/>
    <n v="97.203199999999995"/>
    <x v="4"/>
    <x v="5"/>
  </r>
  <r>
    <s v="CA-2014-130673"/>
    <x v="321"/>
    <d v="2014-05-22T00:00:00"/>
    <x v="0"/>
    <s v="MC-17590"/>
    <s v="Matt Collister"/>
    <x v="1"/>
    <s v="United States"/>
    <x v="348"/>
    <x v="5"/>
    <x v="3"/>
    <s v="FUR-FU-10003489"/>
    <x v="0"/>
    <x v="3"/>
    <s v="Contemporary Borderless Frame"/>
    <n v="10.332000000000001"/>
    <n v="3"/>
    <n v="-5.9409000000000001"/>
    <x v="3"/>
    <x v="7"/>
  </r>
  <r>
    <s v="CA-2017-101700"/>
    <x v="748"/>
    <d v="2017-04-26T00:00:00"/>
    <x v="2"/>
    <s v="SO-20335"/>
    <s v="Sean O'Donnell"/>
    <x v="0"/>
    <s v="United States"/>
    <x v="349"/>
    <x v="12"/>
    <x v="1"/>
    <s v="FUR-FU-10001025"/>
    <x v="0"/>
    <x v="3"/>
    <s v="Eldon Imˆge Series Desk Accessories, Clear"/>
    <n v="11.664"/>
    <n v="3"/>
    <n v="3.3534000000000002"/>
    <x v="0"/>
    <x v="6"/>
  </r>
  <r>
    <s v="CA-2014-151946"/>
    <x v="829"/>
    <d v="2014-06-09T00:00:00"/>
    <x v="1"/>
    <s v="BT-11440"/>
    <s v="Bobby Trafton"/>
    <x v="0"/>
    <s v="United States"/>
    <x v="13"/>
    <x v="7"/>
    <x v="2"/>
    <s v="FUR-FU-10002878"/>
    <x v="0"/>
    <x v="3"/>
    <s v="Seth Thomas 14&quot; Day/Date Wall Clock"/>
    <n v="56.96"/>
    <n v="2"/>
    <n v="21.075199999999999"/>
    <x v="2"/>
    <x v="2"/>
  </r>
  <r>
    <s v="CA-2014-151946"/>
    <x v="829"/>
    <d v="2014-06-09T00:00:00"/>
    <x v="1"/>
    <s v="BT-11440"/>
    <s v="Bobby Trafton"/>
    <x v="0"/>
    <s v="United States"/>
    <x v="13"/>
    <x v="7"/>
    <x v="2"/>
    <s v="FUR-BO-10003272"/>
    <x v="0"/>
    <x v="0"/>
    <s v="O'Sullivan Living Dimensions 5-Shelf Bookcases"/>
    <n v="353.56799999999998"/>
    <n v="2"/>
    <n v="-44.195999999999998"/>
    <x v="2"/>
    <x v="2"/>
  </r>
  <r>
    <s v="CA-2014-151946"/>
    <x v="829"/>
    <d v="2014-06-09T00:00:00"/>
    <x v="1"/>
    <s v="BT-11440"/>
    <s v="Bobby Trafton"/>
    <x v="0"/>
    <s v="United States"/>
    <x v="13"/>
    <x v="7"/>
    <x v="2"/>
    <s v="FUR-FU-10002191"/>
    <x v="0"/>
    <x v="3"/>
    <s v="G.E. Halogen Desk Lamp Bulbs"/>
    <n v="13.96"/>
    <n v="2"/>
    <n v="6.7008000000000001"/>
    <x v="2"/>
    <x v="2"/>
  </r>
  <r>
    <s v="CA-2017-117513"/>
    <x v="470"/>
    <d v="2017-03-08T00:00:00"/>
    <x v="1"/>
    <s v="BT-11395"/>
    <s v="Bill Tyler"/>
    <x v="1"/>
    <s v="United States"/>
    <x v="2"/>
    <x v="2"/>
    <x v="1"/>
    <s v="FUR-TA-10001520"/>
    <x v="0"/>
    <x v="2"/>
    <s v="Lesro Sheffield Collection Coffee Table, End Table, Center Table, Corner Table"/>
    <n v="399.67200000000003"/>
    <n v="7"/>
    <n v="-14.9877"/>
    <x v="2"/>
    <x v="9"/>
  </r>
  <r>
    <s v="US-2017-119319"/>
    <x v="200"/>
    <d v="2017-11-09T00:00:00"/>
    <x v="0"/>
    <s v="LC-17050"/>
    <s v="Liz Carlisle"/>
    <x v="0"/>
    <s v="United States"/>
    <x v="144"/>
    <x v="5"/>
    <x v="3"/>
    <s v="FUR-FU-10003878"/>
    <x v="0"/>
    <x v="3"/>
    <s v="Linden 10&quot; Round Wall Clock, Black"/>
    <n v="30.56"/>
    <n v="5"/>
    <n v="-19.864000000000001"/>
    <x v="0"/>
    <x v="0"/>
  </r>
  <r>
    <s v="CA-2015-164084"/>
    <x v="395"/>
    <d v="2015-09-12T00:00:00"/>
    <x v="1"/>
    <s v="AG-10525"/>
    <s v="Andy Gerbode"/>
    <x v="1"/>
    <s v="United States"/>
    <x v="13"/>
    <x v="7"/>
    <x v="2"/>
    <s v="FUR-TA-10003569"/>
    <x v="0"/>
    <x v="2"/>
    <s v="Bretford CR8500 Series Meeting Room Furniture"/>
    <n v="481.17599999999999"/>
    <n v="2"/>
    <n v="-120.294"/>
    <x v="2"/>
    <x v="4"/>
  </r>
  <r>
    <s v="CA-2016-107783"/>
    <x v="830"/>
    <d v="2016-07-29T00:00:00"/>
    <x v="2"/>
    <s v="OT-18730"/>
    <s v="Olvera Toch"/>
    <x v="0"/>
    <s v="United States"/>
    <x v="268"/>
    <x v="3"/>
    <x v="2"/>
    <s v="FUR-BO-10004409"/>
    <x v="0"/>
    <x v="0"/>
    <s v="Safco Value Mate Series Steel Bookcases, Baked Enamel Finish on Steel, Gray"/>
    <n v="177.45"/>
    <n v="5"/>
    <n v="-78.078000000000003"/>
    <x v="5"/>
    <x v="3"/>
  </r>
  <r>
    <s v="CA-2017-159793"/>
    <x v="831"/>
    <d v="2017-08-29T00:00:00"/>
    <x v="1"/>
    <s v="SV-20365"/>
    <s v="Seth Vernon"/>
    <x v="0"/>
    <s v="United States"/>
    <x v="3"/>
    <x v="3"/>
    <x v="2"/>
    <s v="FUR-BO-10001798"/>
    <x v="0"/>
    <x v="0"/>
    <s v="Bush Somerset Collection Bookcase"/>
    <n v="130.97999999999999"/>
    <n v="2"/>
    <n v="-89.066400000000002"/>
    <x v="4"/>
    <x v="10"/>
  </r>
  <r>
    <s v="CA-2017-151281"/>
    <x v="437"/>
    <d v="2017-05-02T00:00:00"/>
    <x v="1"/>
    <s v="HM-14980"/>
    <s v="Henry MacAllister"/>
    <x v="0"/>
    <s v="United States"/>
    <x v="15"/>
    <x v="13"/>
    <x v="1"/>
    <s v="FUR-FU-10000397"/>
    <x v="0"/>
    <x v="3"/>
    <s v="Luxo Economy Swing Arm Lamp"/>
    <n v="139.58000000000001"/>
    <n v="7"/>
    <n v="39.0824"/>
    <x v="2"/>
    <x v="6"/>
  </r>
  <r>
    <s v="CA-2015-108259"/>
    <x v="428"/>
    <d v="2015-11-15T00:00:00"/>
    <x v="1"/>
    <s v="NS-18640"/>
    <s v="Noel Staavos"/>
    <x v="1"/>
    <s v="United States"/>
    <x v="51"/>
    <x v="30"/>
    <x v="0"/>
    <s v="FUR-FU-10000023"/>
    <x v="0"/>
    <x v="3"/>
    <s v="Eldon Wave Desk Accessories"/>
    <n v="4.7119999999999997"/>
    <n v="1"/>
    <n v="1.4136"/>
    <x v="1"/>
    <x v="0"/>
  </r>
  <r>
    <s v="CA-2016-113341"/>
    <x v="778"/>
    <d v="2016-11-29T00:00:00"/>
    <x v="1"/>
    <s v="MH-17455"/>
    <s v="Mark Hamilton"/>
    <x v="0"/>
    <s v="United States"/>
    <x v="2"/>
    <x v="2"/>
    <x v="1"/>
    <s v="FUR-CH-10004698"/>
    <x v="0"/>
    <x v="1"/>
    <s v="Padded Folding Chairs, Black, 4/Carton"/>
    <n v="194.352"/>
    <n v="3"/>
    <n v="19.435199999999998"/>
    <x v="4"/>
    <x v="0"/>
  </r>
  <r>
    <s v="US-2015-131842"/>
    <x v="482"/>
    <d v="2015-12-08T00:00:00"/>
    <x v="2"/>
    <s v="RR-19525"/>
    <s v="Rick Reed"/>
    <x v="1"/>
    <s v="United States"/>
    <x v="228"/>
    <x v="9"/>
    <x v="0"/>
    <s v="FUR-CH-10004477"/>
    <x v="0"/>
    <x v="1"/>
    <s v="Global Push Button Manager's Chair, Indigo"/>
    <n v="97.424000000000007"/>
    <n v="2"/>
    <n v="10.9602"/>
    <x v="0"/>
    <x v="5"/>
  </r>
  <r>
    <s v="CA-2014-142769"/>
    <x v="624"/>
    <d v="2014-09-13T00:00:00"/>
    <x v="3"/>
    <s v="RP-19390"/>
    <s v="Resi Pšlking"/>
    <x v="0"/>
    <s v="United States"/>
    <x v="15"/>
    <x v="13"/>
    <x v="1"/>
    <s v="FUR-FU-10001918"/>
    <x v="0"/>
    <x v="3"/>
    <s v="C-Line Cubicle Keepers Polyproplyene Holder With Velcro Backings"/>
    <n v="14.19"/>
    <n v="3"/>
    <n v="5.5340999999999996"/>
    <x v="7"/>
    <x v="4"/>
  </r>
  <r>
    <s v="CA-2017-124765"/>
    <x v="608"/>
    <d v="2017-11-30T00:00:00"/>
    <x v="1"/>
    <s v="HZ-14950"/>
    <s v="Henia Zydlo"/>
    <x v="0"/>
    <s v="United States"/>
    <x v="1"/>
    <x v="1"/>
    <x v="0"/>
    <s v="FUR-BO-10003965"/>
    <x v="0"/>
    <x v="0"/>
    <s v="O'Sullivan Manor Hill 2-Door Library in Brianna Oak"/>
    <n v="723.92"/>
    <n v="5"/>
    <n v="-81.441000000000003"/>
    <x v="2"/>
    <x v="0"/>
  </r>
  <r>
    <s v="CA-2015-131856"/>
    <x v="832"/>
    <d v="2015-05-17T00:00:00"/>
    <x v="1"/>
    <s v="JG-15160"/>
    <s v="James Galang"/>
    <x v="0"/>
    <s v="United States"/>
    <x v="6"/>
    <x v="5"/>
    <x v="3"/>
    <s v="FUR-FU-10000175"/>
    <x v="0"/>
    <x v="3"/>
    <s v="DAX Wood Document Frame."/>
    <n v="21.968"/>
    <n v="4"/>
    <n v="-15.9268"/>
    <x v="2"/>
    <x v="7"/>
  </r>
  <r>
    <s v="CA-2017-126634"/>
    <x v="833"/>
    <d v="2017-04-01T00:00:00"/>
    <x v="0"/>
    <s v="AB-10165"/>
    <s v="Alan Barnes"/>
    <x v="0"/>
    <s v="United States"/>
    <x v="174"/>
    <x v="2"/>
    <x v="1"/>
    <s v="FUR-FU-10004973"/>
    <x v="0"/>
    <x v="3"/>
    <s v="Flat Face Poster Frame"/>
    <n v="94.2"/>
    <n v="5"/>
    <n v="39.564"/>
    <x v="3"/>
    <x v="9"/>
  </r>
  <r>
    <s v="US-2014-159611"/>
    <x v="421"/>
    <d v="2015-01-01T00:00:00"/>
    <x v="0"/>
    <s v="KB-16315"/>
    <s v="Karl Braun"/>
    <x v="0"/>
    <s v="United States"/>
    <x v="59"/>
    <x v="15"/>
    <x v="2"/>
    <s v="FUR-FU-10004904"/>
    <x v="0"/>
    <x v="3"/>
    <s v="Eldon &quot;L&quot; Workstation Diamond Chairmat"/>
    <n v="182.352"/>
    <n v="3"/>
    <n v="-18.235199999999999"/>
    <x v="2"/>
    <x v="5"/>
  </r>
  <r>
    <s v="CA-2017-163265"/>
    <x v="834"/>
    <d v="2017-02-21T00:00:00"/>
    <x v="1"/>
    <s v="JS-16030"/>
    <s v="Joy Smith"/>
    <x v="0"/>
    <s v="United States"/>
    <x v="42"/>
    <x v="8"/>
    <x v="3"/>
    <s v="FUR-CH-10004063"/>
    <x v="0"/>
    <x v="1"/>
    <s v="Global Deluxe High-Back Manager's Chair"/>
    <n v="600.55799999999999"/>
    <n v="3"/>
    <n v="-8.5793999999999997"/>
    <x v="2"/>
    <x v="11"/>
  </r>
  <r>
    <s v="CA-2017-163265"/>
    <x v="834"/>
    <d v="2017-02-21T00:00:00"/>
    <x v="1"/>
    <s v="JS-16030"/>
    <s v="Joy Smith"/>
    <x v="0"/>
    <s v="United States"/>
    <x v="42"/>
    <x v="8"/>
    <x v="3"/>
    <s v="FUR-FU-10004270"/>
    <x v="0"/>
    <x v="3"/>
    <s v="Executive Impressions 13&quot; Clairmont Wall Clock"/>
    <n v="7.6920000000000002"/>
    <n v="1"/>
    <n v="-3.6537000000000002"/>
    <x v="2"/>
    <x v="11"/>
  </r>
  <r>
    <s v="CA-2017-141705"/>
    <x v="835"/>
    <d v="2017-10-26T00:00:00"/>
    <x v="2"/>
    <s v="PO-18850"/>
    <s v="Patrick O'Brill"/>
    <x v="0"/>
    <s v="United States"/>
    <x v="350"/>
    <x v="5"/>
    <x v="3"/>
    <s v="FUR-TA-10004607"/>
    <x v="0"/>
    <x v="2"/>
    <s v="Hon 2111 Invitation Series Straight Table"/>
    <n v="517.40499999999997"/>
    <n v="5"/>
    <n v="-81.3065"/>
    <x v="3"/>
    <x v="1"/>
  </r>
  <r>
    <s v="CA-2017-127096"/>
    <x v="102"/>
    <d v="2017-09-17T00:00:00"/>
    <x v="0"/>
    <s v="CS-12400"/>
    <s v="Christopher Schild"/>
    <x v="2"/>
    <s v="United States"/>
    <x v="28"/>
    <x v="2"/>
    <x v="1"/>
    <s v="FUR-TA-10003473"/>
    <x v="0"/>
    <x v="2"/>
    <s v="Bretford Rectangular Conference Table Tops"/>
    <n v="300.904"/>
    <n v="1"/>
    <n v="11.283899999999999"/>
    <x v="3"/>
    <x v="4"/>
  </r>
  <r>
    <s v="CA-2017-119284"/>
    <x v="836"/>
    <d v="2017-06-20T00:00:00"/>
    <x v="1"/>
    <s v="TS-21205"/>
    <s v="Thomas Seio"/>
    <x v="1"/>
    <s v="United States"/>
    <x v="228"/>
    <x v="9"/>
    <x v="0"/>
    <s v="FUR-FU-10004351"/>
    <x v="0"/>
    <x v="3"/>
    <s v="Staple-based wall hangings"/>
    <n v="31.167999999999999"/>
    <n v="4"/>
    <n v="9.3504000000000005"/>
    <x v="2"/>
    <x v="2"/>
  </r>
  <r>
    <s v="CA-2017-119284"/>
    <x v="836"/>
    <d v="2017-06-20T00:00:00"/>
    <x v="1"/>
    <s v="TS-21205"/>
    <s v="Thomas Seio"/>
    <x v="1"/>
    <s v="United States"/>
    <x v="228"/>
    <x v="9"/>
    <x v="0"/>
    <s v="FUR-TA-10004152"/>
    <x v="0"/>
    <x v="2"/>
    <s v="Barricks 18&quot; x 48&quot; Non-Folding Utility Table with Bottom Storage Shelf"/>
    <n v="120.96"/>
    <n v="2"/>
    <n v="-28.224"/>
    <x v="2"/>
    <x v="2"/>
  </r>
  <r>
    <s v="CA-2014-146815"/>
    <x v="30"/>
    <d v="2014-09-13T00:00:00"/>
    <x v="1"/>
    <s v="PP-18955"/>
    <s v="Paul Prost"/>
    <x v="2"/>
    <s v="United States"/>
    <x v="13"/>
    <x v="7"/>
    <x v="2"/>
    <s v="FUR-CH-10004289"/>
    <x v="0"/>
    <x v="1"/>
    <s v="Global Super Steno Chair"/>
    <n v="172.76400000000001"/>
    <n v="2"/>
    <n v="13.437200000000001"/>
    <x v="2"/>
    <x v="4"/>
  </r>
  <r>
    <s v="CA-2014-119144"/>
    <x v="627"/>
    <d v="2014-11-18T00:00:00"/>
    <x v="2"/>
    <s v="JD-16150"/>
    <s v="Justin Deggeller"/>
    <x v="1"/>
    <s v="United States"/>
    <x v="2"/>
    <x v="2"/>
    <x v="1"/>
    <s v="FUR-BO-10004015"/>
    <x v="0"/>
    <x v="0"/>
    <s v="Bush Andora Bookcase, Maple/Graphite Gray Finish"/>
    <n v="305.97449999999998"/>
    <n v="3"/>
    <n v="25.197900000000001"/>
    <x v="3"/>
    <x v="0"/>
  </r>
  <r>
    <s v="CA-2014-105648"/>
    <x v="749"/>
    <d v="2014-03-07T00:00:00"/>
    <x v="1"/>
    <s v="EJ-14155"/>
    <s v="Eva Jacobs"/>
    <x v="0"/>
    <s v="United States"/>
    <x v="53"/>
    <x v="2"/>
    <x v="1"/>
    <s v="FUR-TA-10002958"/>
    <x v="0"/>
    <x v="2"/>
    <s v="Bevis Oval Conference Table, Walnut"/>
    <n v="626.35199999999998"/>
    <n v="3"/>
    <n v="-23.488199999999999"/>
    <x v="4"/>
    <x v="9"/>
  </r>
  <r>
    <s v="US-2015-145422"/>
    <x v="62"/>
    <d v="2015-12-07T00:00:00"/>
    <x v="1"/>
    <s v="PW-19240"/>
    <s v="Pierre Wener"/>
    <x v="0"/>
    <s v="United States"/>
    <x v="28"/>
    <x v="2"/>
    <x v="1"/>
    <s v="FUR-BO-10002213"/>
    <x v="0"/>
    <x v="0"/>
    <s v="Sauder Forest Hills Library, Woodland Oak Finish"/>
    <n v="359.49900000000002"/>
    <n v="3"/>
    <n v="-29.605799999999999"/>
    <x v="4"/>
    <x v="5"/>
  </r>
  <r>
    <s v="CA-2016-120824"/>
    <x v="21"/>
    <d v="2016-06-16T00:00:00"/>
    <x v="0"/>
    <s v="AW-10930"/>
    <s v="Arthur Wiediger"/>
    <x v="2"/>
    <s v="United States"/>
    <x v="6"/>
    <x v="5"/>
    <x v="3"/>
    <s v="FUR-FU-10001424"/>
    <x v="0"/>
    <x v="3"/>
    <s v="Dax Clear Box Frame"/>
    <n v="6.984"/>
    <n v="2"/>
    <n v="-4.5396000000000001"/>
    <x v="4"/>
    <x v="2"/>
  </r>
  <r>
    <s v="CA-2016-120824"/>
    <x v="21"/>
    <d v="2016-06-16T00:00:00"/>
    <x v="0"/>
    <s v="AW-10930"/>
    <s v="Arthur Wiediger"/>
    <x v="2"/>
    <s v="United States"/>
    <x v="6"/>
    <x v="5"/>
    <x v="3"/>
    <s v="FUR-CH-10000229"/>
    <x v="0"/>
    <x v="1"/>
    <s v="Global Enterprise Series Seating High-Back Swivel/Tilt Chairs"/>
    <n v="379.37200000000001"/>
    <n v="2"/>
    <n v="-119.2312"/>
    <x v="4"/>
    <x v="2"/>
  </r>
  <r>
    <s v="CA-2015-103870"/>
    <x v="7"/>
    <d v="2015-12-31T00:00:00"/>
    <x v="1"/>
    <s v="SP-20860"/>
    <s v="Sung Pak"/>
    <x v="1"/>
    <s v="United States"/>
    <x v="34"/>
    <x v="9"/>
    <x v="0"/>
    <s v="FUR-FU-10002030"/>
    <x v="0"/>
    <x v="3"/>
    <s v="Executive Impressions 14&quot; Contract Wall Clock with Quartz Movement"/>
    <n v="53.351999999999997"/>
    <n v="3"/>
    <n v="16.005600000000001"/>
    <x v="4"/>
    <x v="5"/>
  </r>
  <r>
    <s v="CA-2015-103870"/>
    <x v="7"/>
    <d v="2015-12-31T00:00:00"/>
    <x v="1"/>
    <s v="SP-20860"/>
    <s v="Sung Pak"/>
    <x v="1"/>
    <s v="United States"/>
    <x v="34"/>
    <x v="9"/>
    <x v="0"/>
    <s v="FUR-BO-10002853"/>
    <x v="0"/>
    <x v="0"/>
    <s v="O'Sullivan 5-Shelf Heavy-Duty Bookcases"/>
    <n v="131.10400000000001"/>
    <n v="2"/>
    <n v="8.1940000000000008"/>
    <x v="4"/>
    <x v="5"/>
  </r>
  <r>
    <s v="CA-2017-116988"/>
    <x v="419"/>
    <d v="2017-06-29T00:00:00"/>
    <x v="0"/>
    <s v="PW-19030"/>
    <s v="Pauline Webber"/>
    <x v="1"/>
    <s v="United States"/>
    <x v="15"/>
    <x v="13"/>
    <x v="1"/>
    <s v="FUR-FU-10001290"/>
    <x v="0"/>
    <x v="3"/>
    <s v="Executive Impressions Supervisor Wall Clock"/>
    <n v="126.3"/>
    <n v="3"/>
    <n v="40.415999999999997"/>
    <x v="3"/>
    <x v="2"/>
  </r>
  <r>
    <s v="US-2015-144771"/>
    <x v="837"/>
    <d v="2015-10-04T00:00:00"/>
    <x v="2"/>
    <s v="CK-12205"/>
    <s v="Chloris Kastensmidt"/>
    <x v="0"/>
    <s v="United States"/>
    <x v="351"/>
    <x v="36"/>
    <x v="1"/>
    <s v="FUR-FU-10000629"/>
    <x v="0"/>
    <x v="3"/>
    <s v="9-3/4 Diameter Round Wall Clock"/>
    <n v="11.032"/>
    <n v="1"/>
    <n v="3.0337999999999998"/>
    <x v="3"/>
    <x v="1"/>
  </r>
  <r>
    <s v="CA-2017-128076"/>
    <x v="611"/>
    <d v="2017-02-07T00:00:00"/>
    <x v="1"/>
    <s v="BO-11350"/>
    <s v="Bill Overfelt"/>
    <x v="1"/>
    <s v="United States"/>
    <x v="53"/>
    <x v="2"/>
    <x v="1"/>
    <s v="FUR-FU-10000293"/>
    <x v="0"/>
    <x v="3"/>
    <s v="Eldon Antistatic Chair Mats for Low to Medium Pile Carpets"/>
    <n v="210.58"/>
    <n v="2"/>
    <n v="12.6348"/>
    <x v="2"/>
    <x v="11"/>
  </r>
  <r>
    <s v="CA-2016-114307"/>
    <x v="249"/>
    <d v="2016-07-26T00:00:00"/>
    <x v="1"/>
    <s v="MF-17665"/>
    <s v="Maureen Fritzler"/>
    <x v="1"/>
    <s v="United States"/>
    <x v="11"/>
    <x v="32"/>
    <x v="2"/>
    <s v="FUR-FU-10000794"/>
    <x v="0"/>
    <x v="3"/>
    <s v="Eldon Stackable Tray, Side-Load, Legal, Smoke"/>
    <n v="27.42"/>
    <n v="3"/>
    <n v="9.3228000000000009"/>
    <x v="4"/>
    <x v="3"/>
  </r>
  <r>
    <s v="CA-2016-151148"/>
    <x v="51"/>
    <d v="2016-09-13T00:00:00"/>
    <x v="3"/>
    <s v="PO-19180"/>
    <s v="Philisse Overcash"/>
    <x v="2"/>
    <s v="United States"/>
    <x v="74"/>
    <x v="12"/>
    <x v="1"/>
    <s v="FUR-CH-10002304"/>
    <x v="0"/>
    <x v="1"/>
    <s v="Global Stack Chair without Arms, Black"/>
    <n v="83.135999999999996"/>
    <n v="4"/>
    <n v="5.1959999999999997"/>
    <x v="5"/>
    <x v="4"/>
  </r>
  <r>
    <s v="CA-2016-102813"/>
    <x v="192"/>
    <d v="2016-07-03T00:00:00"/>
    <x v="2"/>
    <s v="EA-14035"/>
    <s v="Erin Ashbrook"/>
    <x v="1"/>
    <s v="United States"/>
    <x v="156"/>
    <x v="5"/>
    <x v="3"/>
    <s v="FUR-CH-10000665"/>
    <x v="0"/>
    <x v="1"/>
    <s v="Global Airflow Leather Mesh Back Chair, Black"/>
    <n v="528.42999999999995"/>
    <n v="5"/>
    <n v="0"/>
    <x v="5"/>
    <x v="3"/>
  </r>
  <r>
    <s v="CA-2017-135377"/>
    <x v="838"/>
    <d v="2017-12-18T00:00:00"/>
    <x v="1"/>
    <s v="BP-11095"/>
    <s v="Bart Pistole"/>
    <x v="1"/>
    <s v="United States"/>
    <x v="13"/>
    <x v="7"/>
    <x v="2"/>
    <s v="FUR-BO-10004015"/>
    <x v="0"/>
    <x v="0"/>
    <s v="Bush Andora Bookcase, Maple/Graphite Gray Finish"/>
    <n v="287.976"/>
    <n v="3"/>
    <n v="7.1993999999999998"/>
    <x v="2"/>
    <x v="5"/>
  </r>
  <r>
    <s v="CA-2015-133585"/>
    <x v="822"/>
    <d v="2015-03-04T00:00:00"/>
    <x v="2"/>
    <s v="CM-12715"/>
    <s v="Craig Molinari"/>
    <x v="1"/>
    <s v="United States"/>
    <x v="6"/>
    <x v="5"/>
    <x v="3"/>
    <s v="FUR-BO-10001811"/>
    <x v="0"/>
    <x v="0"/>
    <s v="Atlantic Metals Mobile 5-Shelf Bookcases, Custom Colors"/>
    <n v="1227.9983999999999"/>
    <n v="6"/>
    <n v="-36.117600000000003"/>
    <x v="0"/>
    <x v="9"/>
  </r>
  <r>
    <s v="CA-2016-116911"/>
    <x v="839"/>
    <d v="2016-09-20T00:00:00"/>
    <x v="1"/>
    <s v="JD-16150"/>
    <s v="Justin Deggeller"/>
    <x v="1"/>
    <s v="United States"/>
    <x v="352"/>
    <x v="42"/>
    <x v="1"/>
    <s v="FUR-TA-10003473"/>
    <x v="0"/>
    <x v="2"/>
    <s v="Bretford Rectangular Conference Table Tops"/>
    <n v="1128.3900000000001"/>
    <n v="3"/>
    <n v="259.52969999999999"/>
    <x v="2"/>
    <x v="4"/>
  </r>
  <r>
    <s v="CA-2017-126914"/>
    <x v="836"/>
    <d v="2017-06-19T00:00:00"/>
    <x v="1"/>
    <s v="JE-15715"/>
    <s v="Joe Elijah"/>
    <x v="0"/>
    <s v="United States"/>
    <x v="91"/>
    <x v="30"/>
    <x v="0"/>
    <s v="FUR-CH-10000847"/>
    <x v="0"/>
    <x v="1"/>
    <s v="Global Executive Mid-Back Manager's Chair"/>
    <n v="698.35199999999998"/>
    <n v="3"/>
    <n v="52.376399999999997"/>
    <x v="4"/>
    <x v="2"/>
  </r>
  <r>
    <s v="CA-2017-126914"/>
    <x v="836"/>
    <d v="2017-06-19T00:00:00"/>
    <x v="1"/>
    <s v="JE-15715"/>
    <s v="Joe Elijah"/>
    <x v="0"/>
    <s v="United States"/>
    <x v="91"/>
    <x v="30"/>
    <x v="0"/>
    <s v="FUR-BO-10000468"/>
    <x v="0"/>
    <x v="0"/>
    <s v="O'Sullivan 2-Shelf Heavy-Duty Bookcases"/>
    <n v="77.727999999999994"/>
    <n v="2"/>
    <n v="-3.8864000000000001"/>
    <x v="4"/>
    <x v="2"/>
  </r>
  <r>
    <s v="CA-2016-140935"/>
    <x v="480"/>
    <d v="2016-11-12T00:00:00"/>
    <x v="2"/>
    <s v="AB-10015"/>
    <s v="Aaron Bergman"/>
    <x v="0"/>
    <s v="United States"/>
    <x v="258"/>
    <x v="37"/>
    <x v="3"/>
    <s v="FUR-BO-10003966"/>
    <x v="0"/>
    <x v="0"/>
    <s v="Sauder Facets Collection Library, Sky Alder Finish"/>
    <n v="341.96"/>
    <n v="2"/>
    <n v="54.7136"/>
    <x v="3"/>
    <x v="0"/>
  </r>
  <r>
    <s v="CA-2016-113082"/>
    <x v="51"/>
    <d v="2016-09-16T00:00:00"/>
    <x v="1"/>
    <s v="MC-17590"/>
    <s v="Matt Collister"/>
    <x v="1"/>
    <s v="United States"/>
    <x v="353"/>
    <x v="7"/>
    <x v="2"/>
    <s v="FUR-FU-10002813"/>
    <x v="0"/>
    <x v="3"/>
    <s v="DAX Contemporary Wood Frame with Silver Metal Mat, Desktop, 11 x 14 Size"/>
    <n v="40.479999999999997"/>
    <n v="2"/>
    <n v="14.572800000000001"/>
    <x v="4"/>
    <x v="4"/>
  </r>
  <r>
    <s v="CA-2015-127754"/>
    <x v="155"/>
    <d v="2015-07-31T00:00:00"/>
    <x v="1"/>
    <s v="CK-12760"/>
    <s v="Cyma Kinney"/>
    <x v="1"/>
    <s v="United States"/>
    <x v="110"/>
    <x v="22"/>
    <x v="1"/>
    <s v="FUR-CH-10003199"/>
    <x v="0"/>
    <x v="1"/>
    <s v="Office Star - Contemporary Task Swivel Chair"/>
    <n v="266.35199999999998"/>
    <n v="3"/>
    <n v="13.317600000000001"/>
    <x v="2"/>
    <x v="3"/>
  </r>
  <r>
    <s v="CA-2015-145324"/>
    <x v="840"/>
    <d v="2015-11-19T00:00:00"/>
    <x v="1"/>
    <s v="DH-13675"/>
    <s v="Duane Huffman"/>
    <x v="2"/>
    <s v="United States"/>
    <x v="95"/>
    <x v="25"/>
    <x v="0"/>
    <s v="FUR-FU-10002759"/>
    <x v="0"/>
    <x v="3"/>
    <s v="12-1/2 Diameter Round Wall Clock"/>
    <n v="39.96"/>
    <n v="2"/>
    <n v="14.3856"/>
    <x v="4"/>
    <x v="0"/>
  </r>
  <r>
    <s v="CA-2015-140718"/>
    <x v="473"/>
    <d v="2015-07-04T00:00:00"/>
    <x v="2"/>
    <s v="FA-14230"/>
    <s v="Frank Atkinson"/>
    <x v="1"/>
    <s v="United States"/>
    <x v="168"/>
    <x v="30"/>
    <x v="0"/>
    <s v="FUR-FU-10000076"/>
    <x v="0"/>
    <x v="3"/>
    <s v="24-Hour Round Wall Clock"/>
    <n v="159.84"/>
    <n v="10"/>
    <n v="45.954000000000001"/>
    <x v="3"/>
    <x v="3"/>
  </r>
  <r>
    <s v="CA-2015-125934"/>
    <x v="795"/>
    <d v="2015-09-18T00:00:00"/>
    <x v="1"/>
    <s v="SN-20560"/>
    <s v="Skye Norling"/>
    <x v="2"/>
    <s v="United States"/>
    <x v="309"/>
    <x v="18"/>
    <x v="2"/>
    <s v="FUR-FU-10002107"/>
    <x v="0"/>
    <x v="3"/>
    <s v="Eldon Pizzaz Desk Accessories"/>
    <n v="8.92"/>
    <n v="4"/>
    <n v="3.9247999999999998"/>
    <x v="1"/>
    <x v="4"/>
  </r>
  <r>
    <s v="CA-2014-120411"/>
    <x v="23"/>
    <d v="2014-09-23T00:00:00"/>
    <x v="2"/>
    <s v="SB-20185"/>
    <s v="Sarah Brown"/>
    <x v="0"/>
    <s v="United States"/>
    <x v="9"/>
    <x v="8"/>
    <x v="3"/>
    <s v="FUR-BO-10004218"/>
    <x v="0"/>
    <x v="0"/>
    <s v="Bush Heritage Pine Collection 5-Shelf Bookcase, Albany Pine Finish, *Special Order"/>
    <n v="493.43"/>
    <n v="5"/>
    <n v="-70.489999999999995"/>
    <x v="0"/>
    <x v="4"/>
  </r>
  <r>
    <s v="CA-2017-101805"/>
    <x v="451"/>
    <d v="2017-12-06T00:00:00"/>
    <x v="1"/>
    <s v="SH-19975"/>
    <s v="Sally Hughsby"/>
    <x v="1"/>
    <s v="United States"/>
    <x v="15"/>
    <x v="13"/>
    <x v="1"/>
    <s v="FUR-FU-10000023"/>
    <x v="0"/>
    <x v="3"/>
    <s v="Eldon Wave Desk Accessories"/>
    <n v="70.680000000000007"/>
    <n v="12"/>
    <n v="31.0992"/>
    <x v="2"/>
    <x v="5"/>
  </r>
  <r>
    <s v="CA-2017-103968"/>
    <x v="451"/>
    <d v="2017-12-07T00:00:00"/>
    <x v="1"/>
    <s v="ML-17755"/>
    <s v="Max Ludwig"/>
    <x v="2"/>
    <s v="United States"/>
    <x v="354"/>
    <x v="2"/>
    <x v="1"/>
    <s v="FUR-FU-10003394"/>
    <x v="0"/>
    <x v="3"/>
    <s v="Tenex &quot;The Solids&quot; Textured Chair Mats"/>
    <n v="629.64"/>
    <n v="9"/>
    <n v="107.03879999999999"/>
    <x v="6"/>
    <x v="5"/>
  </r>
  <r>
    <s v="CA-2016-162159"/>
    <x v="751"/>
    <d v="2016-09-18T00:00:00"/>
    <x v="2"/>
    <s v="CR-12625"/>
    <s v="Corey Roper"/>
    <x v="2"/>
    <s v="United States"/>
    <x v="29"/>
    <x v="24"/>
    <x v="0"/>
    <s v="FUR-CH-10001146"/>
    <x v="0"/>
    <x v="1"/>
    <s v="Global Value Mid-Back Manager's Chair, Gray"/>
    <n v="121.78"/>
    <n v="2"/>
    <n v="30.445"/>
    <x v="3"/>
    <x v="4"/>
  </r>
  <r>
    <s v="CA-2015-111038"/>
    <x v="239"/>
    <d v="2015-12-06T00:00:00"/>
    <x v="1"/>
    <s v="LC-16960"/>
    <s v="Lindsay Castell"/>
    <x v="2"/>
    <s v="United States"/>
    <x v="53"/>
    <x v="2"/>
    <x v="1"/>
    <s v="FUR-CH-10003973"/>
    <x v="0"/>
    <x v="1"/>
    <s v="GuestStacker Chair with Chrome Finish Legs"/>
    <n v="2676.672"/>
    <n v="9"/>
    <n v="267.66719999999998"/>
    <x v="2"/>
    <x v="5"/>
  </r>
  <r>
    <s v="CA-2014-124723"/>
    <x v="31"/>
    <d v="2014-08-12T00:00:00"/>
    <x v="1"/>
    <s v="GZ-14470"/>
    <s v="Gary Zandusky"/>
    <x v="0"/>
    <s v="United States"/>
    <x v="303"/>
    <x v="5"/>
    <x v="3"/>
    <s v="FUR-TA-10001307"/>
    <x v="0"/>
    <x v="2"/>
    <s v="SAFCO PlanMaster Heigh-Adjustable Drafting Table Base, 43w x 30d x 30-37h, Black"/>
    <n v="489.23"/>
    <n v="2"/>
    <n v="41.933999999999997"/>
    <x v="1"/>
    <x v="10"/>
  </r>
  <r>
    <s v="CA-2016-167241"/>
    <x v="404"/>
    <d v="2016-08-22T00:00:00"/>
    <x v="1"/>
    <s v="BD-11320"/>
    <s v="Bill Donatelli"/>
    <x v="0"/>
    <s v="United States"/>
    <x v="2"/>
    <x v="2"/>
    <x v="1"/>
    <s v="FUR-FU-10004071"/>
    <x v="0"/>
    <x v="3"/>
    <s v="Luxo Professional Magnifying Clamp-On Fluorescent Lamps"/>
    <n v="312.02999999999997"/>
    <n v="3"/>
    <n v="43.684199999999997"/>
    <x v="1"/>
    <x v="10"/>
  </r>
  <r>
    <s v="CA-2016-150483"/>
    <x v="841"/>
    <d v="2016-06-04T00:00:00"/>
    <x v="1"/>
    <s v="BP-11290"/>
    <s v="Beth Paige"/>
    <x v="0"/>
    <s v="United States"/>
    <x v="42"/>
    <x v="8"/>
    <x v="3"/>
    <s v="FUR-FU-10001379"/>
    <x v="0"/>
    <x v="3"/>
    <s v="Executive Impressions 16-1/2&quot; Circular Wall Clock"/>
    <n v="32.064"/>
    <n v="3"/>
    <n v="-12.8256"/>
    <x v="4"/>
    <x v="7"/>
  </r>
  <r>
    <s v="CA-2016-150483"/>
    <x v="841"/>
    <d v="2016-06-04T00:00:00"/>
    <x v="1"/>
    <s v="BP-11290"/>
    <s v="Beth Paige"/>
    <x v="0"/>
    <s v="United States"/>
    <x v="42"/>
    <x v="8"/>
    <x v="3"/>
    <s v="FUR-CH-10000422"/>
    <x v="0"/>
    <x v="1"/>
    <s v="Global Highback Leather Tilter in Burgundy"/>
    <n v="191.07900000000001"/>
    <n v="3"/>
    <n v="-38.215800000000002"/>
    <x v="4"/>
    <x v="7"/>
  </r>
  <r>
    <s v="CA-2014-160276"/>
    <x v="842"/>
    <d v="2014-04-08T00:00:00"/>
    <x v="1"/>
    <s v="AH-10690"/>
    <s v="Anna HŠberlin"/>
    <x v="1"/>
    <s v="United States"/>
    <x v="304"/>
    <x v="25"/>
    <x v="0"/>
    <s v="FUR-FU-10003192"/>
    <x v="0"/>
    <x v="3"/>
    <s v="Luxo Adjustable Task Clamp Lamp"/>
    <n v="177.68"/>
    <n v="2"/>
    <n v="46.196800000000003"/>
    <x v="6"/>
    <x v="6"/>
  </r>
  <r>
    <s v="CA-2016-145709"/>
    <x v="803"/>
    <d v="2016-10-08T00:00:00"/>
    <x v="1"/>
    <s v="AH-10690"/>
    <s v="Anna HŠberlin"/>
    <x v="1"/>
    <s v="United States"/>
    <x v="355"/>
    <x v="1"/>
    <x v="0"/>
    <s v="FUR-FU-10002885"/>
    <x v="0"/>
    <x v="3"/>
    <s v="Magna Visual Magnetic Picture Hangers"/>
    <n v="11.568"/>
    <n v="3"/>
    <n v="2.6027999999999998"/>
    <x v="4"/>
    <x v="1"/>
  </r>
  <r>
    <s v="CA-2016-168032"/>
    <x v="772"/>
    <d v="2016-02-03T00:00:00"/>
    <x v="1"/>
    <s v="DF-13135"/>
    <s v="David Flashing"/>
    <x v="0"/>
    <s v="United States"/>
    <x v="88"/>
    <x v="8"/>
    <x v="3"/>
    <s v="FUR-TA-10004256"/>
    <x v="0"/>
    <x v="2"/>
    <s v="Bretford ÒJust In TimeÓ Height-Adjustable Multi-Task Work Tables"/>
    <n v="626.1"/>
    <n v="3"/>
    <n v="-538.44600000000003"/>
    <x v="4"/>
    <x v="8"/>
  </r>
  <r>
    <s v="US-2015-168704"/>
    <x v="315"/>
    <d v="2015-04-17T00:00:00"/>
    <x v="1"/>
    <s v="FP-14320"/>
    <s v="Frank Preis"/>
    <x v="0"/>
    <s v="United States"/>
    <x v="156"/>
    <x v="5"/>
    <x v="3"/>
    <s v="FUR-TA-10000688"/>
    <x v="0"/>
    <x v="2"/>
    <s v="Chromcraft Bull-Nose Wood Round Conference Table Top, Wood Base"/>
    <n v="609.98"/>
    <n v="4"/>
    <n v="-113.282"/>
    <x v="4"/>
    <x v="6"/>
  </r>
  <r>
    <s v="US-2015-168704"/>
    <x v="315"/>
    <d v="2015-04-17T00:00:00"/>
    <x v="1"/>
    <s v="FP-14320"/>
    <s v="Frank Preis"/>
    <x v="0"/>
    <s v="United States"/>
    <x v="156"/>
    <x v="5"/>
    <x v="3"/>
    <s v="FUR-TA-10002530"/>
    <x v="0"/>
    <x v="2"/>
    <s v="Iceberg OfficeWorks 42&quot; Round Tables"/>
    <n v="211.37200000000001"/>
    <n v="2"/>
    <n v="-45.293999999999997"/>
    <x v="4"/>
    <x v="6"/>
  </r>
  <r>
    <s v="CA-2017-143252"/>
    <x v="186"/>
    <d v="2017-12-24T00:00:00"/>
    <x v="1"/>
    <s v="HE-14800"/>
    <s v="Harold Engle"/>
    <x v="1"/>
    <s v="United States"/>
    <x v="79"/>
    <x v="16"/>
    <x v="3"/>
    <s v="FUR-FU-10001057"/>
    <x v="0"/>
    <x v="3"/>
    <s v="Tensor Track Tree Floor Lamp"/>
    <n v="99.95"/>
    <n v="5"/>
    <n v="22.988499999999998"/>
    <x v="6"/>
    <x v="5"/>
  </r>
  <r>
    <s v="CA-2016-102134"/>
    <x v="269"/>
    <d v="2016-03-19T00:00:00"/>
    <x v="1"/>
    <s v="SP-20545"/>
    <s v="Sibella Parks"/>
    <x v="1"/>
    <s v="United States"/>
    <x v="356"/>
    <x v="16"/>
    <x v="3"/>
    <s v="FUR-FU-10003724"/>
    <x v="0"/>
    <x v="3"/>
    <s v="Westinghouse Clip-On Gooseneck Lamps"/>
    <n v="16.739999999999998"/>
    <n v="2"/>
    <n v="4.3524000000000003"/>
    <x v="2"/>
    <x v="9"/>
  </r>
  <r>
    <s v="CA-2017-111717"/>
    <x v="843"/>
    <d v="2017-10-16T00:00:00"/>
    <x v="1"/>
    <s v="SW-20245"/>
    <s v="Scot Wooten"/>
    <x v="0"/>
    <s v="United States"/>
    <x v="14"/>
    <x v="8"/>
    <x v="3"/>
    <s v="FUR-CH-10001545"/>
    <x v="0"/>
    <x v="1"/>
    <s v="Hon Comfortask Task/Swivel Chairs"/>
    <n v="239.358"/>
    <n v="3"/>
    <n v="-47.871600000000001"/>
    <x v="6"/>
    <x v="1"/>
  </r>
  <r>
    <s v="CA-2017-150910"/>
    <x v="313"/>
    <d v="2017-12-28T00:00:00"/>
    <x v="1"/>
    <s v="JL-15130"/>
    <s v="Jack Lebron"/>
    <x v="0"/>
    <s v="United States"/>
    <x v="38"/>
    <x v="9"/>
    <x v="0"/>
    <s v="FUR-TA-10002903"/>
    <x v="0"/>
    <x v="2"/>
    <s v="Bevis Round Bullnose 29&quot; High Table Top"/>
    <n v="934.95600000000002"/>
    <n v="6"/>
    <n v="-249.32159999999999"/>
    <x v="6"/>
    <x v="5"/>
  </r>
  <r>
    <s v="CA-2014-156790"/>
    <x v="98"/>
    <d v="2014-08-10T00:00:00"/>
    <x v="0"/>
    <s v="VG-21790"/>
    <s v="Vivek Gonzalez"/>
    <x v="0"/>
    <s v="United States"/>
    <x v="51"/>
    <x v="1"/>
    <x v="0"/>
    <s v="FUR-BO-10000468"/>
    <x v="0"/>
    <x v="0"/>
    <s v="O'Sullivan 2-Shelf Heavy-Duty Bookcases"/>
    <n v="155.45599999999999"/>
    <n v="4"/>
    <n v="-7.7728000000000002"/>
    <x v="3"/>
    <x v="10"/>
  </r>
  <r>
    <s v="CA-2017-105620"/>
    <x v="19"/>
    <d v="2017-12-28T00:00:00"/>
    <x v="2"/>
    <s v="JH-15430"/>
    <s v="Jennifer Halladay"/>
    <x v="0"/>
    <s v="United States"/>
    <x v="173"/>
    <x v="1"/>
    <x v="0"/>
    <s v="FUR-FU-10004963"/>
    <x v="0"/>
    <x v="3"/>
    <s v="Eldon 400 Class Desk Accessories, Black Carbon"/>
    <n v="21"/>
    <n v="3"/>
    <n v="5.7750000000000004"/>
    <x v="0"/>
    <x v="5"/>
  </r>
  <r>
    <s v="CA-2017-150266"/>
    <x v="608"/>
    <d v="2017-11-30T00:00:00"/>
    <x v="1"/>
    <s v="RO-19780"/>
    <s v="Rose O'Brian"/>
    <x v="0"/>
    <s v="United States"/>
    <x v="6"/>
    <x v="5"/>
    <x v="3"/>
    <s v="FUR-CH-10002126"/>
    <x v="0"/>
    <x v="1"/>
    <s v="Hon Deluxe Fabric Upholstered Stacking Chairs"/>
    <n v="853.93"/>
    <n v="5"/>
    <n v="-24.398"/>
    <x v="2"/>
    <x v="0"/>
  </r>
  <r>
    <s v="CA-2016-157280"/>
    <x v="541"/>
    <d v="2016-11-07T00:00:00"/>
    <x v="2"/>
    <s v="LW-17125"/>
    <s v="Liz Willingham"/>
    <x v="0"/>
    <s v="United States"/>
    <x v="304"/>
    <x v="25"/>
    <x v="0"/>
    <s v="FUR-FU-10004665"/>
    <x v="0"/>
    <x v="3"/>
    <s v="3M Polarizing Task Lamp with Clamp Arm, Light Gray"/>
    <n v="273.95999999999998"/>
    <n v="2"/>
    <n v="71.229600000000005"/>
    <x v="3"/>
    <x v="0"/>
  </r>
  <r>
    <s v="CA-2016-157280"/>
    <x v="541"/>
    <d v="2016-11-07T00:00:00"/>
    <x v="2"/>
    <s v="LW-17125"/>
    <s v="Liz Willingham"/>
    <x v="0"/>
    <s v="United States"/>
    <x v="304"/>
    <x v="25"/>
    <x v="0"/>
    <s v="FUR-FU-10003806"/>
    <x v="0"/>
    <x v="3"/>
    <s v="Tenex Chairmat w/ Average Lip, 45&quot; x 53&quot;"/>
    <n v="756.8"/>
    <n v="5"/>
    <n v="75.680000000000007"/>
    <x v="3"/>
    <x v="0"/>
  </r>
  <r>
    <s v="CA-2016-134180"/>
    <x v="361"/>
    <d v="2016-11-07T00:00:00"/>
    <x v="1"/>
    <s v="JP-16135"/>
    <s v="Julie Prescott"/>
    <x v="2"/>
    <s v="United States"/>
    <x v="3"/>
    <x v="3"/>
    <x v="2"/>
    <s v="FUR-CH-10004886"/>
    <x v="0"/>
    <x v="1"/>
    <s v="Bevis Steel Folding Chairs"/>
    <n v="470.15499999999997"/>
    <n v="7"/>
    <n v="-13.433"/>
    <x v="4"/>
    <x v="0"/>
  </r>
  <r>
    <s v="CA-2017-122308"/>
    <x v="781"/>
    <d v="2017-03-28T00:00:00"/>
    <x v="1"/>
    <s v="MV-17485"/>
    <s v="Mark Van Huff"/>
    <x v="0"/>
    <s v="United States"/>
    <x v="13"/>
    <x v="7"/>
    <x v="2"/>
    <s v="FUR-CH-10000665"/>
    <x v="0"/>
    <x v="1"/>
    <s v="Global Airflow Leather Mesh Back Chair, Black"/>
    <n v="271.76400000000001"/>
    <n v="2"/>
    <n v="60.392000000000003"/>
    <x v="4"/>
    <x v="9"/>
  </r>
  <r>
    <s v="CA-2017-159226"/>
    <x v="844"/>
    <d v="2017-04-27T00:00:00"/>
    <x v="0"/>
    <s v="RL-19615"/>
    <s v="Rob Lucas"/>
    <x v="0"/>
    <s v="United States"/>
    <x v="2"/>
    <x v="2"/>
    <x v="1"/>
    <s v="FUR-BO-10004709"/>
    <x v="0"/>
    <x v="0"/>
    <s v="Bush Westfield Collection Bookcases, Medium Cherry Finish"/>
    <n v="344.98099999999999"/>
    <n v="7"/>
    <n v="28.4102"/>
    <x v="3"/>
    <x v="6"/>
  </r>
  <r>
    <s v="CA-2017-156622"/>
    <x v="68"/>
    <d v="2017-11-26T00:00:00"/>
    <x v="2"/>
    <s v="JP-15460"/>
    <s v="Jennifer Patt"/>
    <x v="1"/>
    <s v="United States"/>
    <x v="144"/>
    <x v="5"/>
    <x v="3"/>
    <s v="FUR-TA-10003008"/>
    <x v="0"/>
    <x v="2"/>
    <s v="Lesro Round Back Collection Coffee Table, End Table"/>
    <n v="127.785"/>
    <n v="1"/>
    <n v="-31.0335"/>
    <x v="0"/>
    <x v="0"/>
  </r>
  <r>
    <s v="CA-2016-110898"/>
    <x v="845"/>
    <d v="2016-03-12T00:00:00"/>
    <x v="1"/>
    <s v="LC-16870"/>
    <s v="Lena Cacioppo"/>
    <x v="0"/>
    <s v="United States"/>
    <x v="9"/>
    <x v="8"/>
    <x v="3"/>
    <s v="FUR-FU-10003773"/>
    <x v="0"/>
    <x v="3"/>
    <s v="Eldon Cleatmat Plus Chair Mats for High Pile Carpets"/>
    <n v="159.04"/>
    <n v="5"/>
    <n v="-194.82400000000001"/>
    <x v="6"/>
    <x v="9"/>
  </r>
  <r>
    <s v="CA-2016-110898"/>
    <x v="845"/>
    <d v="2016-03-12T00:00:00"/>
    <x v="1"/>
    <s v="LC-16870"/>
    <s v="Lena Cacioppo"/>
    <x v="0"/>
    <s v="United States"/>
    <x v="9"/>
    <x v="8"/>
    <x v="3"/>
    <s v="FUR-TA-10000849"/>
    <x v="0"/>
    <x v="2"/>
    <s v="Bevis Rectangular Conference Tables"/>
    <n v="145.97999999999999"/>
    <n v="2"/>
    <n v="-99.266400000000004"/>
    <x v="6"/>
    <x v="9"/>
  </r>
  <r>
    <s v="CA-2015-123092"/>
    <x v="62"/>
    <d v="2015-12-07T00:00:00"/>
    <x v="1"/>
    <s v="JG-15115"/>
    <s v="Jack Garza"/>
    <x v="0"/>
    <s v="United States"/>
    <x v="51"/>
    <x v="30"/>
    <x v="0"/>
    <s v="FUR-FU-10000222"/>
    <x v="0"/>
    <x v="3"/>
    <s v="Seth Thomas 16&quot; Steel Case Clock"/>
    <n v="77.951999999999998"/>
    <n v="3"/>
    <n v="12.667199999999999"/>
    <x v="4"/>
    <x v="5"/>
  </r>
  <r>
    <s v="US-2015-128587"/>
    <x v="37"/>
    <d v="2015-12-30T00:00:00"/>
    <x v="1"/>
    <s v="HM-14860"/>
    <s v="Harry Marie"/>
    <x v="1"/>
    <s v="United States"/>
    <x v="76"/>
    <x v="23"/>
    <x v="3"/>
    <s v="FUR-FU-10003026"/>
    <x v="0"/>
    <x v="3"/>
    <s v="Eldon Regeneration Recycled Desk Accessories, Black"/>
    <n v="9.68"/>
    <n v="2"/>
    <n v="3.7751999999999999"/>
    <x v="6"/>
    <x v="5"/>
  </r>
  <r>
    <s v="CA-2017-159100"/>
    <x v="259"/>
    <d v="2017-10-21T00:00:00"/>
    <x v="1"/>
    <s v="VP-21760"/>
    <s v="Victoria Pisteka"/>
    <x v="1"/>
    <s v="United States"/>
    <x v="11"/>
    <x v="9"/>
    <x v="0"/>
    <s v="FUR-TA-10001950"/>
    <x v="0"/>
    <x v="2"/>
    <s v="Balt Solid Wood Round Tables"/>
    <n v="1875.258"/>
    <n v="7"/>
    <n v="-968.88329999999996"/>
    <x v="2"/>
    <x v="1"/>
  </r>
  <r>
    <s v="CA-2017-137785"/>
    <x v="846"/>
    <d v="2017-05-17T00:00:00"/>
    <x v="1"/>
    <s v="MH-18115"/>
    <s v="Mick Hernandez"/>
    <x v="2"/>
    <s v="United States"/>
    <x v="3"/>
    <x v="3"/>
    <x v="2"/>
    <s v="FUR-CH-10001482"/>
    <x v="0"/>
    <x v="1"/>
    <s v="Office Star - Mesh Screen back chair with Vinyl seat"/>
    <n v="458.43"/>
    <n v="5"/>
    <n v="-124.431"/>
    <x v="4"/>
    <x v="7"/>
  </r>
  <r>
    <s v="CA-2017-107825"/>
    <x v="414"/>
    <d v="2017-11-18T00:00:00"/>
    <x v="3"/>
    <s v="NB-18655"/>
    <s v="Nona Balk"/>
    <x v="1"/>
    <s v="United States"/>
    <x v="79"/>
    <x v="16"/>
    <x v="3"/>
    <s v="FUR-FU-10000206"/>
    <x v="0"/>
    <x v="3"/>
    <s v="GE General Purpose, Extra Long Life, Showcase &amp; Floodlight Incandescent Bulbs"/>
    <n v="5.82"/>
    <n v="2"/>
    <n v="2.7353999999999998"/>
    <x v="7"/>
    <x v="0"/>
  </r>
  <r>
    <s v="CA-2016-121447"/>
    <x v="629"/>
    <d v="2016-02-22T00:00:00"/>
    <x v="2"/>
    <s v="EA-14035"/>
    <s v="Erin Ashbrook"/>
    <x v="1"/>
    <s v="United States"/>
    <x v="13"/>
    <x v="7"/>
    <x v="2"/>
    <s v="FUR-FU-10001861"/>
    <x v="0"/>
    <x v="3"/>
    <s v="Floodlight Indoor Halogen Bulbs, 1 Bulb per Pack, 60 Watts"/>
    <n v="135.80000000000001"/>
    <n v="7"/>
    <n v="66.542000000000002"/>
    <x v="5"/>
    <x v="11"/>
  </r>
  <r>
    <s v="CA-2014-100706"/>
    <x v="439"/>
    <d v="2014-12-18T00:00:00"/>
    <x v="0"/>
    <s v="LE-16810"/>
    <s v="Laurel Elliston"/>
    <x v="0"/>
    <s v="United States"/>
    <x v="76"/>
    <x v="25"/>
    <x v="0"/>
    <s v="FUR-FU-10002268"/>
    <x v="0"/>
    <x v="3"/>
    <s v="Ultra Door Push Plate"/>
    <n v="29.46"/>
    <n v="6"/>
    <n v="9.7218"/>
    <x v="3"/>
    <x v="5"/>
  </r>
  <r>
    <s v="US-2016-141880"/>
    <x v="847"/>
    <d v="2016-08-23T00:00:00"/>
    <x v="2"/>
    <s v="TC-21475"/>
    <s v="Tony Chapman"/>
    <x v="2"/>
    <s v="United States"/>
    <x v="200"/>
    <x v="12"/>
    <x v="1"/>
    <s v="FUR-FU-10001979"/>
    <x v="0"/>
    <x v="3"/>
    <s v="Dana Halogen Swing-Arm Architect Lamp"/>
    <n v="98.328000000000003"/>
    <n v="3"/>
    <n v="9.8328000000000007"/>
    <x v="5"/>
    <x v="10"/>
  </r>
  <r>
    <s v="CA-2015-165799"/>
    <x v="330"/>
    <d v="2015-07-02T00:00:00"/>
    <x v="2"/>
    <s v="SG-20470"/>
    <s v="Sheri Gordon"/>
    <x v="0"/>
    <s v="United States"/>
    <x v="13"/>
    <x v="7"/>
    <x v="2"/>
    <s v="FUR-CH-10001482"/>
    <x v="0"/>
    <x v="1"/>
    <s v="Office Star - Mesh Screen back chair with Vinyl seat"/>
    <n v="117.88200000000001"/>
    <n v="1"/>
    <n v="1.3098000000000001"/>
    <x v="0"/>
    <x v="2"/>
  </r>
  <r>
    <s v="CA-2016-102127"/>
    <x v="517"/>
    <d v="2016-07-02T00:00:00"/>
    <x v="1"/>
    <s v="VP-21760"/>
    <s v="Victoria Pisteka"/>
    <x v="1"/>
    <s v="United States"/>
    <x v="13"/>
    <x v="7"/>
    <x v="2"/>
    <s v="FUR-FU-10003976"/>
    <x v="0"/>
    <x v="3"/>
    <s v="DAX Executive Solid Wood Document Frame, Desktop or Hang, Mahogany, 5 x 7"/>
    <n v="37.74"/>
    <n v="3"/>
    <n v="12.8316"/>
    <x v="6"/>
    <x v="2"/>
  </r>
  <r>
    <s v="US-2016-152415"/>
    <x v="334"/>
    <d v="2016-09-22T00:00:00"/>
    <x v="1"/>
    <s v="PO-18865"/>
    <s v="Patrick O'Donnell"/>
    <x v="0"/>
    <s v="United States"/>
    <x v="357"/>
    <x v="20"/>
    <x v="2"/>
    <s v="FUR-FU-10002597"/>
    <x v="0"/>
    <x v="3"/>
    <s v="C-Line Magnetic Cubicle Keepers, Clear Polypropylene"/>
    <n v="14.82"/>
    <n v="3"/>
    <n v="6.2244000000000002"/>
    <x v="2"/>
    <x v="4"/>
  </r>
  <r>
    <s v="US-2016-152415"/>
    <x v="334"/>
    <d v="2016-09-22T00:00:00"/>
    <x v="1"/>
    <s v="PO-18865"/>
    <s v="Patrick O'Donnell"/>
    <x v="0"/>
    <s v="United States"/>
    <x v="357"/>
    <x v="20"/>
    <x v="2"/>
    <s v="FUR-FU-10004864"/>
    <x v="0"/>
    <x v="3"/>
    <s v="Howard Miller 14-1/2&quot; Diameter Chrome Round Wall Clock"/>
    <n v="191.82"/>
    <n v="3"/>
    <n v="61.382399999999997"/>
    <x v="2"/>
    <x v="4"/>
  </r>
  <r>
    <s v="CA-2017-128041"/>
    <x v="449"/>
    <d v="2017-09-01T00:00:00"/>
    <x v="3"/>
    <s v="RW-19540"/>
    <s v="Rick Wilson"/>
    <x v="1"/>
    <s v="United States"/>
    <x v="15"/>
    <x v="13"/>
    <x v="1"/>
    <s v="FUR-TA-10002607"/>
    <x v="0"/>
    <x v="2"/>
    <s v="KI Conference Tables"/>
    <n v="283.56"/>
    <n v="4"/>
    <n v="45.369599999999998"/>
    <x v="7"/>
    <x v="4"/>
  </r>
  <r>
    <s v="CA-2017-105823"/>
    <x v="848"/>
    <d v="2017-06-26T00:00:00"/>
    <x v="1"/>
    <s v="RB-19465"/>
    <s v="Rick Bensley"/>
    <x v="2"/>
    <s v="United States"/>
    <x v="25"/>
    <x v="17"/>
    <x v="3"/>
    <s v="FUR-CH-10000454"/>
    <x v="0"/>
    <x v="1"/>
    <s v="Hon Deluxe Fabric Upholstered Stacking Chairs, Rounded Back"/>
    <n v="487.96"/>
    <n v="2"/>
    <n v="146.38800000000001"/>
    <x v="4"/>
    <x v="2"/>
  </r>
  <r>
    <s v="CA-2014-138177"/>
    <x v="539"/>
    <d v="2014-09-24T00:00:00"/>
    <x v="1"/>
    <s v="ND-18460"/>
    <s v="Neil Ducich"/>
    <x v="1"/>
    <s v="United States"/>
    <x v="262"/>
    <x v="22"/>
    <x v="1"/>
    <s v="FUR-TA-10004607"/>
    <x v="0"/>
    <x v="2"/>
    <s v="Hon 2111 Invitation Series Straight Table"/>
    <n v="73.915000000000006"/>
    <n v="1"/>
    <n v="-45.827300000000001"/>
    <x v="2"/>
    <x v="4"/>
  </r>
  <r>
    <s v="CA-2014-114335"/>
    <x v="849"/>
    <d v="2014-10-03T00:00:00"/>
    <x v="1"/>
    <s v="XP-21865"/>
    <s v="Xylona Preis"/>
    <x v="0"/>
    <s v="United States"/>
    <x v="358"/>
    <x v="1"/>
    <x v="0"/>
    <s v="FUR-FU-10000277"/>
    <x v="0"/>
    <x v="3"/>
    <s v="Deflect-o DuraMat Antistatic Studded Beveled Mat for Medium Pile Carpeting"/>
    <n v="337.08800000000002"/>
    <n v="4"/>
    <n v="16.854399999999998"/>
    <x v="2"/>
    <x v="4"/>
  </r>
  <r>
    <s v="CA-2015-160227"/>
    <x v="46"/>
    <d v="2015-11-04T00:00:00"/>
    <x v="2"/>
    <s v="ED-13885"/>
    <s v="Emily Ducich"/>
    <x v="2"/>
    <s v="United States"/>
    <x v="13"/>
    <x v="7"/>
    <x v="2"/>
    <s v="FUR-CH-10002073"/>
    <x v="0"/>
    <x v="1"/>
    <s v="Hon Olson Stacker Chairs"/>
    <n v="2621.3220000000001"/>
    <n v="11"/>
    <n v="553.39020000000005"/>
    <x v="3"/>
    <x v="0"/>
  </r>
  <r>
    <s v="CA-2015-149097"/>
    <x v="798"/>
    <d v="2015-10-24T00:00:00"/>
    <x v="1"/>
    <s v="SV-20785"/>
    <s v="Stewart Visinsky"/>
    <x v="0"/>
    <s v="United States"/>
    <x v="2"/>
    <x v="2"/>
    <x v="1"/>
    <s v="FUR-FU-10003424"/>
    <x v="0"/>
    <x v="3"/>
    <s v="Nu-Dell Oak Frame"/>
    <n v="74.760000000000005"/>
    <n v="7"/>
    <n v="23.923200000000001"/>
    <x v="4"/>
    <x v="1"/>
  </r>
  <r>
    <s v="CA-2015-149097"/>
    <x v="798"/>
    <d v="2015-10-24T00:00:00"/>
    <x v="1"/>
    <s v="SV-20785"/>
    <s v="Stewart Visinsky"/>
    <x v="0"/>
    <s v="United States"/>
    <x v="2"/>
    <x v="2"/>
    <x v="1"/>
    <s v="FUR-TA-10001086"/>
    <x v="0"/>
    <x v="2"/>
    <s v="SAFCO PlanMaster Boards, 60w x 37-1/2d, White Melamine"/>
    <n v="364.77600000000001"/>
    <n v="3"/>
    <n v="27.3582"/>
    <x v="4"/>
    <x v="1"/>
  </r>
  <r>
    <s v="CA-2016-132304"/>
    <x v="184"/>
    <d v="2016-06-18T00:00:00"/>
    <x v="1"/>
    <s v="AR-10825"/>
    <s v="Anthony Rawles"/>
    <x v="1"/>
    <s v="United States"/>
    <x v="15"/>
    <x v="13"/>
    <x v="1"/>
    <s v="FUR-TA-10004619"/>
    <x v="0"/>
    <x v="2"/>
    <s v="Hon Non-Folding Utility Tables"/>
    <n v="1115.17"/>
    <n v="7"/>
    <n v="334.55099999999999"/>
    <x v="4"/>
    <x v="2"/>
  </r>
  <r>
    <s v="CA-2016-106278"/>
    <x v="227"/>
    <d v="2016-09-05T00:00:00"/>
    <x v="0"/>
    <s v="BM-11140"/>
    <s v="Becky Martin"/>
    <x v="0"/>
    <s v="United States"/>
    <x v="67"/>
    <x v="13"/>
    <x v="1"/>
    <s v="FUR-CH-10003061"/>
    <x v="0"/>
    <x v="1"/>
    <s v="Global Leather Task Chair, Black"/>
    <n v="215.976"/>
    <n v="3"/>
    <n v="-2.6997"/>
    <x v="0"/>
    <x v="4"/>
  </r>
  <r>
    <s v="CA-2017-147550"/>
    <x v="423"/>
    <d v="2017-12-05T00:00:00"/>
    <x v="2"/>
    <s v="KE-16420"/>
    <s v="Katrina Edelman"/>
    <x v="1"/>
    <s v="United States"/>
    <x v="3"/>
    <x v="3"/>
    <x v="2"/>
    <s v="FUR-FU-10001918"/>
    <x v="0"/>
    <x v="3"/>
    <s v="C-Line Cubicle Keepers Polyproplyene Holder With Velcro Backings"/>
    <n v="11.352"/>
    <n v="3"/>
    <n v="2.6960999999999999"/>
    <x v="5"/>
    <x v="5"/>
  </r>
  <r>
    <s v="CA-2016-108105"/>
    <x v="285"/>
    <d v="2016-02-23T00:00:00"/>
    <x v="1"/>
    <s v="GW-14605"/>
    <s v="Giulietta Weimer"/>
    <x v="0"/>
    <s v="United States"/>
    <x v="0"/>
    <x v="0"/>
    <x v="0"/>
    <s v="FUR-FU-10003773"/>
    <x v="0"/>
    <x v="3"/>
    <s v="Eldon Cleatmat Plus Chair Mats for High Pile Carpets"/>
    <n v="318.08"/>
    <n v="4"/>
    <n v="34.988799999999998"/>
    <x v="1"/>
    <x v="11"/>
  </r>
  <r>
    <s v="CA-2016-143406"/>
    <x v="73"/>
    <d v="2016-09-30T00:00:00"/>
    <x v="1"/>
    <s v="LR-17035"/>
    <s v="Lisa Ryan"/>
    <x v="1"/>
    <s v="United States"/>
    <x v="6"/>
    <x v="5"/>
    <x v="3"/>
    <s v="FUR-CH-10000513"/>
    <x v="0"/>
    <x v="1"/>
    <s v="High-Back Leather Manager's Chair"/>
    <n v="454.96499999999997"/>
    <n v="5"/>
    <n v="-136.48949999999999"/>
    <x v="4"/>
    <x v="4"/>
  </r>
  <r>
    <s v="CA-2015-162950"/>
    <x v="741"/>
    <d v="2015-07-03T00:00:00"/>
    <x v="0"/>
    <s v="DW-13585"/>
    <s v="Dorothy Wardle"/>
    <x v="1"/>
    <s v="United States"/>
    <x v="8"/>
    <x v="15"/>
    <x v="2"/>
    <s v="FUR-BO-10001918"/>
    <x v="0"/>
    <x v="0"/>
    <s v="Sauder Forest Hills Library with Doors, Woodland Oak Finish"/>
    <n v="482.94"/>
    <n v="6"/>
    <n v="-376.69319999999999"/>
    <x v="2"/>
    <x v="2"/>
  </r>
  <r>
    <s v="CA-2015-163181"/>
    <x v="86"/>
    <d v="2015-11-12T00:00:00"/>
    <x v="1"/>
    <s v="AB-10105"/>
    <s v="Adrian Barton"/>
    <x v="0"/>
    <s v="United States"/>
    <x v="6"/>
    <x v="5"/>
    <x v="3"/>
    <s v="FUR-FU-10000193"/>
    <x v="0"/>
    <x v="3"/>
    <s v="Tenex Chairmats For Use with Hard Floors"/>
    <n v="64.959999999999994"/>
    <n v="5"/>
    <n v="-84.447999999999993"/>
    <x v="2"/>
    <x v="0"/>
  </r>
  <r>
    <s v="CA-2017-153045"/>
    <x v="850"/>
    <d v="2017-01-24T00:00:00"/>
    <x v="0"/>
    <s v="NS-18505"/>
    <s v="Neola Schneider"/>
    <x v="0"/>
    <s v="United States"/>
    <x v="3"/>
    <x v="3"/>
    <x v="2"/>
    <s v="FUR-FU-10002759"/>
    <x v="0"/>
    <x v="3"/>
    <s v="12-1/2 Diameter Round Wall Clock"/>
    <n v="31.968"/>
    <n v="2"/>
    <n v="6.3936000000000002"/>
    <x v="2"/>
    <x v="8"/>
  </r>
  <r>
    <s v="CA-2017-153045"/>
    <x v="850"/>
    <d v="2017-01-24T00:00:00"/>
    <x v="0"/>
    <s v="NS-18505"/>
    <s v="Neola Schneider"/>
    <x v="0"/>
    <s v="United States"/>
    <x v="3"/>
    <x v="3"/>
    <x v="2"/>
    <s v="FUR-CH-10000309"/>
    <x v="0"/>
    <x v="1"/>
    <s v="Global Comet Stacking Arm Chair"/>
    <n v="887.27099999999996"/>
    <n v="3"/>
    <n v="-63.3765"/>
    <x v="2"/>
    <x v="8"/>
  </r>
  <r>
    <s v="CA-2016-128916"/>
    <x v="851"/>
    <d v="2016-08-20T00:00:00"/>
    <x v="0"/>
    <s v="MA-17560"/>
    <s v="Matt Abelman"/>
    <x v="2"/>
    <s v="United States"/>
    <x v="6"/>
    <x v="5"/>
    <x v="3"/>
    <s v="FUR-FU-10001940"/>
    <x v="0"/>
    <x v="3"/>
    <s v="Staple-based wall hangings"/>
    <n v="9.5519999999999996"/>
    <n v="3"/>
    <n v="-3.8208000000000002"/>
    <x v="3"/>
    <x v="10"/>
  </r>
  <r>
    <s v="CA-2016-128916"/>
    <x v="851"/>
    <d v="2016-08-20T00:00:00"/>
    <x v="0"/>
    <s v="MA-17560"/>
    <s v="Matt Abelman"/>
    <x v="2"/>
    <s v="United States"/>
    <x v="6"/>
    <x v="5"/>
    <x v="3"/>
    <s v="FUR-FU-10000320"/>
    <x v="0"/>
    <x v="3"/>
    <s v="OIC Stacking Trays"/>
    <n v="5.3440000000000003"/>
    <n v="4"/>
    <n v="-2.1375999999999999"/>
    <x v="3"/>
    <x v="10"/>
  </r>
  <r>
    <s v="CA-2016-130911"/>
    <x v="852"/>
    <d v="2016-03-26T00:00:00"/>
    <x v="0"/>
    <s v="DC-12850"/>
    <s v="Dan Campbell"/>
    <x v="0"/>
    <s v="United States"/>
    <x v="59"/>
    <x v="15"/>
    <x v="2"/>
    <s v="FUR-BO-10004357"/>
    <x v="0"/>
    <x v="0"/>
    <s v="O'Sullivan Living Dimensions 3-Shelf Bookcases"/>
    <n v="301.47000000000003"/>
    <n v="3"/>
    <n v="-241.17599999999999"/>
    <x v="3"/>
    <x v="9"/>
  </r>
  <r>
    <s v="CA-2017-100055"/>
    <x v="15"/>
    <d v="2017-06-01T00:00:00"/>
    <x v="1"/>
    <s v="MD-17860"/>
    <s v="Michael Dominguez"/>
    <x v="1"/>
    <s v="United States"/>
    <x v="359"/>
    <x v="32"/>
    <x v="2"/>
    <s v="FUR-FU-10001473"/>
    <x v="0"/>
    <x v="3"/>
    <s v="DAX Wood Document Frame"/>
    <n v="27.46"/>
    <n v="2"/>
    <n v="9.8856000000000002"/>
    <x v="4"/>
    <x v="7"/>
  </r>
  <r>
    <s v="CA-2016-132990"/>
    <x v="853"/>
    <d v="2016-08-03T00:00:00"/>
    <x v="0"/>
    <s v="KM-16660"/>
    <s v="Khloe Miller"/>
    <x v="0"/>
    <s v="United States"/>
    <x v="3"/>
    <x v="3"/>
    <x v="2"/>
    <s v="FUR-FU-10004864"/>
    <x v="0"/>
    <x v="3"/>
    <s v="Eldon 500 Class Desk Accessories"/>
    <n v="19.312000000000001"/>
    <n v="2"/>
    <n v="3.1381999999999999"/>
    <x v="3"/>
    <x v="10"/>
  </r>
  <r>
    <s v="CA-2016-160108"/>
    <x v="6"/>
    <d v="2016-12-12T00:00:00"/>
    <x v="1"/>
    <s v="AG-10900"/>
    <s v="Arthur Gainer"/>
    <x v="0"/>
    <s v="United States"/>
    <x v="360"/>
    <x v="16"/>
    <x v="3"/>
    <s v="FUR-BO-10003450"/>
    <x v="0"/>
    <x v="0"/>
    <s v="Bush Westfield Collection Bookcases, Dark Cherry Finish"/>
    <n v="405.86"/>
    <n v="7"/>
    <n v="32.468800000000002"/>
    <x v="4"/>
    <x v="5"/>
  </r>
  <r>
    <s v="CA-2016-160108"/>
    <x v="6"/>
    <d v="2016-12-12T00:00:00"/>
    <x v="1"/>
    <s v="AG-10900"/>
    <s v="Arthur Gainer"/>
    <x v="0"/>
    <s v="United States"/>
    <x v="360"/>
    <x v="16"/>
    <x v="3"/>
    <s v="FUR-CH-10002335"/>
    <x v="0"/>
    <x v="1"/>
    <s v="Hon GuestStacker Chair"/>
    <n v="680.01"/>
    <n v="3"/>
    <n v="176.80260000000001"/>
    <x v="4"/>
    <x v="5"/>
  </r>
  <r>
    <s v="US-2016-155768"/>
    <x v="193"/>
    <d v="2016-12-01T00:00:00"/>
    <x v="3"/>
    <s v="LB-16795"/>
    <s v="Laurel Beltran"/>
    <x v="2"/>
    <s v="United States"/>
    <x v="299"/>
    <x v="2"/>
    <x v="1"/>
    <s v="FUR-FU-10000448"/>
    <x v="0"/>
    <x v="3"/>
    <s v="Tenex Chairmats For Use With Carpeted Floors"/>
    <n v="31.96"/>
    <n v="2"/>
    <n v="1.5980000000000001"/>
    <x v="7"/>
    <x v="5"/>
  </r>
  <r>
    <s v="CA-2017-156776"/>
    <x v="854"/>
    <d v="2017-08-11T00:00:00"/>
    <x v="1"/>
    <s v="JL-15505"/>
    <s v="Jeremy Lonsdale"/>
    <x v="0"/>
    <s v="United States"/>
    <x v="327"/>
    <x v="2"/>
    <x v="1"/>
    <s v="FUR-FU-10004848"/>
    <x v="0"/>
    <x v="3"/>
    <s v="Howard Miller 13-3/4&quot; Diameter Brushed Chrome Round Wall Clock"/>
    <n v="51.75"/>
    <n v="1"/>
    <n v="15.525"/>
    <x v="4"/>
    <x v="10"/>
  </r>
  <r>
    <s v="CA-2017-156776"/>
    <x v="854"/>
    <d v="2017-08-11T00:00:00"/>
    <x v="1"/>
    <s v="JL-15505"/>
    <s v="Jeremy Lonsdale"/>
    <x v="0"/>
    <s v="United States"/>
    <x v="327"/>
    <x v="2"/>
    <x v="1"/>
    <s v="FUR-CH-10002317"/>
    <x v="0"/>
    <x v="1"/>
    <s v="Global Enterprise Series Seating Low-Back Swivel/Tilt Chairs"/>
    <n v="207.184"/>
    <n v="1"/>
    <n v="25.898"/>
    <x v="4"/>
    <x v="10"/>
  </r>
  <r>
    <s v="CA-2014-103310"/>
    <x v="769"/>
    <d v="2014-05-15T00:00:00"/>
    <x v="1"/>
    <s v="GM-14680"/>
    <s v="Greg Matthias"/>
    <x v="0"/>
    <s v="United States"/>
    <x v="124"/>
    <x v="2"/>
    <x v="1"/>
    <s v="FUR-CH-10002320"/>
    <x v="0"/>
    <x v="1"/>
    <s v="Hon Pagoda Stacking Chairs"/>
    <n v="256.78399999999999"/>
    <n v="1"/>
    <n v="32.097999999999999"/>
    <x v="2"/>
    <x v="7"/>
  </r>
  <r>
    <s v="CA-2016-152688"/>
    <x v="816"/>
    <d v="2016-10-20T00:00:00"/>
    <x v="2"/>
    <s v="NR-18550"/>
    <s v="Nick Radford"/>
    <x v="0"/>
    <s v="United States"/>
    <x v="361"/>
    <x v="18"/>
    <x v="2"/>
    <s v="FUR-BO-10001337"/>
    <x v="0"/>
    <x v="0"/>
    <s v="O'Sullivan Living Dimensions 2-Shelf Bookcases"/>
    <n v="120.98"/>
    <n v="1"/>
    <n v="12.098000000000001"/>
    <x v="0"/>
    <x v="1"/>
  </r>
  <r>
    <s v="CA-2014-144071"/>
    <x v="489"/>
    <d v="2014-12-15T00:00:00"/>
    <x v="1"/>
    <s v="DJ-13420"/>
    <s v="Denny Joy"/>
    <x v="1"/>
    <s v="United States"/>
    <x v="28"/>
    <x v="2"/>
    <x v="1"/>
    <s v="FUR-FU-10000397"/>
    <x v="0"/>
    <x v="3"/>
    <s v="Luxo Economy Swing Arm Lamp"/>
    <n v="39.880000000000003"/>
    <n v="2"/>
    <n v="11.166399999999999"/>
    <x v="1"/>
    <x v="5"/>
  </r>
  <r>
    <s v="CA-2014-144071"/>
    <x v="489"/>
    <d v="2014-12-15T00:00:00"/>
    <x v="1"/>
    <s v="DJ-13420"/>
    <s v="Denny Joy"/>
    <x v="1"/>
    <s v="United States"/>
    <x v="28"/>
    <x v="2"/>
    <x v="1"/>
    <s v="FUR-FU-10000758"/>
    <x v="0"/>
    <x v="3"/>
    <s v="DAX Natural Wood-Tone Poster Frame"/>
    <n v="79.44"/>
    <n v="3"/>
    <n v="28.598400000000002"/>
    <x v="1"/>
    <x v="5"/>
  </r>
  <r>
    <s v="US-2015-164238"/>
    <x v="793"/>
    <d v="2015-08-20T00:00:00"/>
    <x v="1"/>
    <s v="JW-15955"/>
    <s v="Joni Wasserman"/>
    <x v="0"/>
    <s v="United States"/>
    <x v="3"/>
    <x v="3"/>
    <x v="2"/>
    <s v="FUR-BO-10000780"/>
    <x v="0"/>
    <x v="0"/>
    <s v="O'Sullivan Plantations 2-Door Library in Landvery Oak"/>
    <n v="301.47000000000003"/>
    <n v="3"/>
    <n v="-204.99959999999999"/>
    <x v="4"/>
    <x v="10"/>
  </r>
  <r>
    <s v="CA-2017-103212"/>
    <x v="540"/>
    <d v="2017-10-14T00:00:00"/>
    <x v="2"/>
    <s v="MH-18025"/>
    <s v="Michelle Huthwaite"/>
    <x v="0"/>
    <s v="United States"/>
    <x v="120"/>
    <x v="35"/>
    <x v="0"/>
    <s v="FUR-TA-10003473"/>
    <x v="0"/>
    <x v="2"/>
    <s v="Bretford Rectangular Conference Table Tops"/>
    <n v="1504.52"/>
    <n v="4"/>
    <n v="346.03960000000001"/>
    <x v="5"/>
    <x v="1"/>
  </r>
  <r>
    <s v="CA-2016-126732"/>
    <x v="227"/>
    <d v="2016-09-06T00:00:00"/>
    <x v="1"/>
    <s v="LR-16915"/>
    <s v="Lena Radford"/>
    <x v="0"/>
    <s v="United States"/>
    <x v="2"/>
    <x v="2"/>
    <x v="1"/>
    <s v="FUR-FU-10001889"/>
    <x v="0"/>
    <x v="3"/>
    <s v="Ultra Door Pull Handle"/>
    <n v="94.68"/>
    <n v="9"/>
    <n v="31.244399999999999"/>
    <x v="4"/>
    <x v="4"/>
  </r>
  <r>
    <s v="CA-2016-126732"/>
    <x v="227"/>
    <d v="2016-09-06T00:00:00"/>
    <x v="1"/>
    <s v="LR-16915"/>
    <s v="Lena Radford"/>
    <x v="0"/>
    <s v="United States"/>
    <x v="2"/>
    <x v="2"/>
    <x v="1"/>
    <s v="FUR-TA-10001539"/>
    <x v="0"/>
    <x v="2"/>
    <s v="Chromcraft Rectangular Conference Tables"/>
    <n v="568.72799999999995"/>
    <n v="3"/>
    <n v="28.436399999999999"/>
    <x v="4"/>
    <x v="4"/>
  </r>
  <r>
    <s v="CA-2017-138156"/>
    <x v="441"/>
    <d v="2017-02-14T00:00:00"/>
    <x v="2"/>
    <s v="MM-17260"/>
    <s v="Magdelene Morse"/>
    <x v="0"/>
    <s v="United States"/>
    <x v="29"/>
    <x v="15"/>
    <x v="2"/>
    <s v="FUR-FU-10003601"/>
    <x v="0"/>
    <x v="3"/>
    <s v="Deflect-o RollaMat Studded, Beveled Mat for Medium Pile Carpeting"/>
    <n v="147.56800000000001"/>
    <n v="2"/>
    <n v="-3.6892"/>
    <x v="0"/>
    <x v="11"/>
  </r>
  <r>
    <s v="CA-2014-113271"/>
    <x v="855"/>
    <d v="2014-07-14T00:00:00"/>
    <x v="1"/>
    <s v="DS-13030"/>
    <s v="Darrin Sayre"/>
    <x v="2"/>
    <s v="United States"/>
    <x v="28"/>
    <x v="2"/>
    <x v="1"/>
    <s v="FUR-BO-10004218"/>
    <x v="0"/>
    <x v="0"/>
    <s v="Bush Heritage Pine Collection 5-Shelf Bookcase, Albany Pine Finish, *Special Order"/>
    <n v="119.833"/>
    <n v="1"/>
    <n v="7.0490000000000004"/>
    <x v="2"/>
    <x v="3"/>
  </r>
  <r>
    <s v="CA-2014-168368"/>
    <x v="651"/>
    <d v="2014-02-15T00:00:00"/>
    <x v="0"/>
    <s v="GA-14725"/>
    <s v="Guy Armstrong"/>
    <x v="0"/>
    <s v="United States"/>
    <x v="11"/>
    <x v="23"/>
    <x v="3"/>
    <s v="FUR-CH-10001146"/>
    <x v="0"/>
    <x v="1"/>
    <s v="Global Value Mid-Back Manager's Chair, Gray"/>
    <n v="60.89"/>
    <n v="1"/>
    <n v="15.2225"/>
    <x v="4"/>
    <x v="11"/>
  </r>
  <r>
    <s v="CA-2014-168368"/>
    <x v="651"/>
    <d v="2014-02-15T00:00:00"/>
    <x v="0"/>
    <s v="GA-14725"/>
    <s v="Guy Armstrong"/>
    <x v="0"/>
    <s v="United States"/>
    <x v="11"/>
    <x v="23"/>
    <x v="3"/>
    <s v="FUR-FU-10002298"/>
    <x v="0"/>
    <x v="3"/>
    <s v="Rubbermaid ClusterMat Chairmats, Mat Size- 66&quot; x 60&quot;, Lip 20&quot; x 11&quot; -90 Degree Angle"/>
    <n v="332.94"/>
    <n v="3"/>
    <n v="53.270400000000002"/>
    <x v="4"/>
    <x v="11"/>
  </r>
  <r>
    <s v="CA-2017-111388"/>
    <x v="113"/>
    <d v="2017-09-02T00:00:00"/>
    <x v="3"/>
    <s v="SU-20665"/>
    <s v="Stephanie Ulpright"/>
    <x v="2"/>
    <s v="United States"/>
    <x v="15"/>
    <x v="13"/>
    <x v="1"/>
    <s v="FUR-CH-10003061"/>
    <x v="0"/>
    <x v="1"/>
    <s v="Global Leather Task Chair, Black"/>
    <n v="215.976"/>
    <n v="3"/>
    <n v="-2.6997"/>
    <x v="7"/>
    <x v="4"/>
  </r>
  <r>
    <s v="CA-2015-124499"/>
    <x v="856"/>
    <d v="2015-10-13T00:00:00"/>
    <x v="1"/>
    <s v="FM-14380"/>
    <s v="Fred McMath"/>
    <x v="0"/>
    <s v="United States"/>
    <x v="25"/>
    <x v="17"/>
    <x v="3"/>
    <s v="FUR-CH-10000513"/>
    <x v="0"/>
    <x v="1"/>
    <s v="High-Back Leather Manager's Chair"/>
    <n v="389.97"/>
    <n v="3"/>
    <n v="35.097299999999997"/>
    <x v="4"/>
    <x v="1"/>
  </r>
  <r>
    <s v="CA-2014-125759"/>
    <x v="857"/>
    <d v="2014-02-09T00:00:00"/>
    <x v="2"/>
    <s v="NM-18445"/>
    <s v="Nathan Mautz"/>
    <x v="2"/>
    <s v="United States"/>
    <x v="111"/>
    <x v="34"/>
    <x v="1"/>
    <s v="FUR-FU-10002111"/>
    <x v="0"/>
    <x v="3"/>
    <s v="Master Caster Door Stop, Large Brown"/>
    <n v="14.56"/>
    <n v="2"/>
    <n v="5.5327999999999999"/>
    <x v="5"/>
    <x v="11"/>
  </r>
  <r>
    <s v="CA-2015-151869"/>
    <x v="4"/>
    <d v="2015-09-25T00:00:00"/>
    <x v="3"/>
    <s v="CS-11950"/>
    <s v="Carlos Soltero"/>
    <x v="0"/>
    <s v="United States"/>
    <x v="234"/>
    <x v="7"/>
    <x v="2"/>
    <s v="FUR-CH-10001545"/>
    <x v="0"/>
    <x v="1"/>
    <s v="Hon Comfortask Task/Swivel Chairs"/>
    <n v="102.58199999999999"/>
    <n v="1"/>
    <n v="6.8388"/>
    <x v="7"/>
    <x v="4"/>
  </r>
  <r>
    <s v="CA-2016-100510"/>
    <x v="858"/>
    <d v="2016-05-17T00:00:00"/>
    <x v="1"/>
    <s v="HM-14860"/>
    <s v="Harry Marie"/>
    <x v="1"/>
    <s v="United States"/>
    <x v="13"/>
    <x v="7"/>
    <x v="2"/>
    <s v="FUR-FU-10000320"/>
    <x v="0"/>
    <x v="3"/>
    <s v="OIC Stacking Trays"/>
    <n v="10.02"/>
    <n v="3"/>
    <n v="4.4088000000000003"/>
    <x v="2"/>
    <x v="7"/>
  </r>
  <r>
    <s v="CA-2017-122539"/>
    <x v="451"/>
    <d v="2017-12-05T00:00:00"/>
    <x v="1"/>
    <s v="SC-20305"/>
    <s v="Sean Christensen"/>
    <x v="0"/>
    <s v="United States"/>
    <x v="3"/>
    <x v="3"/>
    <x v="2"/>
    <s v="FUR-CH-10003379"/>
    <x v="0"/>
    <x v="1"/>
    <s v="Global Commerce Series High-Back Swivel/Tilt Chairs"/>
    <n v="398.97199999999998"/>
    <n v="2"/>
    <n v="-28.498000000000001"/>
    <x v="4"/>
    <x v="5"/>
  </r>
  <r>
    <s v="CA-2016-166772"/>
    <x v="649"/>
    <d v="2016-09-24T00:00:00"/>
    <x v="1"/>
    <s v="HJ-14875"/>
    <s v="Heather Jas"/>
    <x v="2"/>
    <s v="United States"/>
    <x v="15"/>
    <x v="13"/>
    <x v="1"/>
    <s v="FUR-BO-10002853"/>
    <x v="0"/>
    <x v="0"/>
    <s v="O'Sullivan 5-Shelf Heavy-Duty Bookcases"/>
    <n v="163.88"/>
    <n v="2"/>
    <n v="40.97"/>
    <x v="4"/>
    <x v="4"/>
  </r>
  <r>
    <s v="CA-2014-161032"/>
    <x v="356"/>
    <d v="2014-11-23T00:00:00"/>
    <x v="1"/>
    <s v="MK-17905"/>
    <s v="Michael Kennedy"/>
    <x v="1"/>
    <s v="United States"/>
    <x v="20"/>
    <x v="16"/>
    <x v="3"/>
    <s v="FUR-CH-10001482"/>
    <x v="0"/>
    <x v="1"/>
    <s v="Office Star - Mesh Screen back chair with Vinyl seat"/>
    <n v="392.94"/>
    <n v="3"/>
    <n v="43.223399999999998"/>
    <x v="2"/>
    <x v="0"/>
  </r>
  <r>
    <s v="CA-2015-102778"/>
    <x v="32"/>
    <d v="2015-11-24T00:00:00"/>
    <x v="2"/>
    <s v="JH-15820"/>
    <s v="John Huston"/>
    <x v="0"/>
    <s v="United States"/>
    <x v="91"/>
    <x v="30"/>
    <x v="0"/>
    <s v="FUR-FU-10000087"/>
    <x v="0"/>
    <x v="3"/>
    <s v="Executive Impressions 14&quot; Two-Color Numerals Wall Clock"/>
    <n v="18.175999999999998"/>
    <n v="1"/>
    <n v="4.7712000000000003"/>
    <x v="0"/>
    <x v="0"/>
  </r>
  <r>
    <s v="CA-2017-154011"/>
    <x v="744"/>
    <d v="2017-06-26T00:00:00"/>
    <x v="1"/>
    <s v="DB-13270"/>
    <s v="Deborah Brumfield"/>
    <x v="2"/>
    <s v="United States"/>
    <x v="144"/>
    <x v="5"/>
    <x v="3"/>
    <s v="FUR-TA-10000688"/>
    <x v="0"/>
    <x v="2"/>
    <s v="Chromcraft Bull-Nose Wood Round Conference Table Top, Wood Base"/>
    <n v="457.48500000000001"/>
    <n v="3"/>
    <n v="-84.961500000000001"/>
    <x v="1"/>
    <x v="2"/>
  </r>
  <r>
    <s v="US-2017-165456"/>
    <x v="147"/>
    <d v="2017-12-03T00:00:00"/>
    <x v="2"/>
    <s v="TB-21625"/>
    <s v="Trudy Brown"/>
    <x v="0"/>
    <s v="United States"/>
    <x v="3"/>
    <x v="3"/>
    <x v="2"/>
    <s v="FUR-CH-10003981"/>
    <x v="0"/>
    <x v="1"/>
    <s v="Global Commerce Series Low-Back Swivel/Tilt Chairs"/>
    <n v="1079.316"/>
    <n v="6"/>
    <n v="-15.418799999999999"/>
    <x v="0"/>
    <x v="0"/>
  </r>
  <r>
    <s v="CA-2017-161340"/>
    <x v="15"/>
    <d v="2017-06-01T00:00:00"/>
    <x v="1"/>
    <s v="AM-10360"/>
    <s v="Alice McCarthy"/>
    <x v="1"/>
    <s v="United States"/>
    <x v="59"/>
    <x v="15"/>
    <x v="2"/>
    <s v="FUR-BO-10004709"/>
    <x v="0"/>
    <x v="0"/>
    <s v="Bush Westfield Collection Bookcases, Medium Cherry Finish"/>
    <n v="115.96"/>
    <n v="4"/>
    <n v="-64.937600000000003"/>
    <x v="4"/>
    <x v="7"/>
  </r>
  <r>
    <s v="US-2015-163433"/>
    <x v="8"/>
    <d v="2015-04-22T00:00:00"/>
    <x v="0"/>
    <s v="MP-17965"/>
    <s v="Michael Paige"/>
    <x v="1"/>
    <s v="United States"/>
    <x v="362"/>
    <x v="5"/>
    <x v="3"/>
    <s v="FUR-CH-10000225"/>
    <x v="0"/>
    <x v="1"/>
    <s v="Global Geo Office Task Chair, Gray"/>
    <n v="56.686"/>
    <n v="1"/>
    <n v="-20.245000000000001"/>
    <x v="4"/>
    <x v="6"/>
  </r>
  <r>
    <s v="US-2017-108343"/>
    <x v="96"/>
    <d v="2017-07-25T00:00:00"/>
    <x v="1"/>
    <s v="AR-10825"/>
    <s v="Anthony Rawles"/>
    <x v="1"/>
    <s v="United States"/>
    <x v="13"/>
    <x v="7"/>
    <x v="2"/>
    <s v="FUR-CH-10002780"/>
    <x v="0"/>
    <x v="1"/>
    <s v="Office Star - Task Chair with Contemporary Loop Arms"/>
    <n v="163.76400000000001"/>
    <n v="2"/>
    <n v="25.474399999999999"/>
    <x v="2"/>
    <x v="3"/>
  </r>
  <r>
    <s v="US-2017-108343"/>
    <x v="96"/>
    <d v="2017-07-25T00:00:00"/>
    <x v="1"/>
    <s v="AR-10825"/>
    <s v="Anthony Rawles"/>
    <x v="1"/>
    <s v="United States"/>
    <x v="13"/>
    <x v="7"/>
    <x v="2"/>
    <s v="FUR-FU-10000747"/>
    <x v="0"/>
    <x v="3"/>
    <s v="Tenex B1-RE Series Chair Mats for Low Pile Carpets"/>
    <n v="183.92"/>
    <n v="4"/>
    <n v="31.266400000000001"/>
    <x v="2"/>
    <x v="3"/>
  </r>
  <r>
    <s v="US-2016-111563"/>
    <x v="114"/>
    <d v="2016-11-08T00:00:00"/>
    <x v="1"/>
    <s v="SM-20005"/>
    <s v="Sally Matthias"/>
    <x v="0"/>
    <s v="United States"/>
    <x v="6"/>
    <x v="5"/>
    <x v="3"/>
    <s v="FUR-FU-10002445"/>
    <x v="0"/>
    <x v="3"/>
    <s v="DAX Two-Tone Rosewood/Black Document Frame, Desktop, 5 x 7"/>
    <n v="11.375999999999999"/>
    <n v="3"/>
    <n v="-5.6879999999999997"/>
    <x v="4"/>
    <x v="0"/>
  </r>
  <r>
    <s v="US-2016-111563"/>
    <x v="114"/>
    <d v="2016-11-08T00:00:00"/>
    <x v="1"/>
    <s v="SM-20005"/>
    <s v="Sally Matthias"/>
    <x v="0"/>
    <s v="United States"/>
    <x v="6"/>
    <x v="5"/>
    <x v="3"/>
    <s v="FUR-FU-10000723"/>
    <x v="0"/>
    <x v="3"/>
    <s v="Deflect-o EconoMat Studded, No Bevel Mat for Low Pile Carpeting"/>
    <n v="66.111999999999995"/>
    <n v="4"/>
    <n v="-84.2928"/>
    <x v="4"/>
    <x v="0"/>
  </r>
  <r>
    <s v="CA-2017-121853"/>
    <x v="204"/>
    <d v="2017-09-29T00:00:00"/>
    <x v="1"/>
    <s v="DB-13660"/>
    <s v="Duane Benoit"/>
    <x v="0"/>
    <s v="United States"/>
    <x v="2"/>
    <x v="2"/>
    <x v="1"/>
    <s v="FUR-CH-10003973"/>
    <x v="0"/>
    <x v="1"/>
    <s v="GuestStacker Chair with Chrome Finish Legs"/>
    <n v="594.81600000000003"/>
    <n v="2"/>
    <n v="59.4816"/>
    <x v="6"/>
    <x v="4"/>
  </r>
  <r>
    <s v="US-2017-130687"/>
    <x v="87"/>
    <d v="2017-09-10T00:00:00"/>
    <x v="2"/>
    <s v="PF-19225"/>
    <s v="Phillip Flathmann"/>
    <x v="0"/>
    <s v="United States"/>
    <x v="71"/>
    <x v="13"/>
    <x v="1"/>
    <s v="FUR-FU-10004053"/>
    <x v="0"/>
    <x v="3"/>
    <s v="DAX Two-Tone Silver Metal Document Frame"/>
    <n v="80.959999999999994"/>
    <n v="4"/>
    <n v="34.812800000000003"/>
    <x v="0"/>
    <x v="4"/>
  </r>
  <r>
    <s v="CA-2017-110198"/>
    <x v="806"/>
    <d v="2017-05-02T00:00:00"/>
    <x v="2"/>
    <s v="AG-10900"/>
    <s v="Arthur Gainer"/>
    <x v="0"/>
    <s v="United States"/>
    <x v="97"/>
    <x v="1"/>
    <x v="0"/>
    <s v="FUR-BO-10001798"/>
    <x v="0"/>
    <x v="0"/>
    <s v="Bush Somerset Collection Bookcase"/>
    <n v="314.35199999999998"/>
    <n v="3"/>
    <n v="-15.717599999999999"/>
    <x v="5"/>
    <x v="7"/>
  </r>
  <r>
    <s v="CA-2017-109085"/>
    <x v="506"/>
    <d v="2017-02-20T00:00:00"/>
    <x v="2"/>
    <s v="CK-12325"/>
    <s v="Christine Kargatis"/>
    <x v="2"/>
    <s v="United States"/>
    <x v="8"/>
    <x v="15"/>
    <x v="2"/>
    <s v="FUR-TA-10001086"/>
    <x v="0"/>
    <x v="2"/>
    <s v="SAFCO PlanMaster Boards, 60w x 37-1/2d, White Melamine"/>
    <n v="455.97"/>
    <n v="5"/>
    <n v="-106.393"/>
    <x v="0"/>
    <x v="11"/>
  </r>
  <r>
    <s v="CA-2017-109085"/>
    <x v="506"/>
    <d v="2017-02-20T00:00:00"/>
    <x v="2"/>
    <s v="CK-12325"/>
    <s v="Christine Kargatis"/>
    <x v="2"/>
    <s v="United States"/>
    <x v="8"/>
    <x v="15"/>
    <x v="2"/>
    <s v="FUR-FU-10004973"/>
    <x v="0"/>
    <x v="3"/>
    <s v="Flat Face Poster Frame"/>
    <n v="30.143999999999998"/>
    <n v="2"/>
    <n v="8.2896000000000001"/>
    <x v="0"/>
    <x v="11"/>
  </r>
  <r>
    <s v="CA-2017-109085"/>
    <x v="506"/>
    <d v="2017-02-20T00:00:00"/>
    <x v="2"/>
    <s v="CK-12325"/>
    <s v="Christine Kargatis"/>
    <x v="2"/>
    <s v="United States"/>
    <x v="8"/>
    <x v="15"/>
    <x v="2"/>
    <s v="FUR-CH-10003981"/>
    <x v="0"/>
    <x v="1"/>
    <s v="Global Commerce Series Low-Back Swivel/Tilt Chairs"/>
    <n v="899.43"/>
    <n v="5"/>
    <n v="-12.849"/>
    <x v="0"/>
    <x v="11"/>
  </r>
  <r>
    <s v="CA-2016-114860"/>
    <x v="286"/>
    <d v="2016-12-28T00:00:00"/>
    <x v="1"/>
    <s v="DN-13690"/>
    <s v="Duane Noonan"/>
    <x v="0"/>
    <s v="United States"/>
    <x v="363"/>
    <x v="2"/>
    <x v="1"/>
    <s v="FUR-FU-10000277"/>
    <x v="0"/>
    <x v="3"/>
    <s v="Deflect-o DuraMat Antistatic Studded Beveled Mat for Medium Pile Carpeting"/>
    <n v="842.72"/>
    <n v="8"/>
    <n v="202.25280000000001"/>
    <x v="6"/>
    <x v="5"/>
  </r>
  <r>
    <s v="CA-2016-114860"/>
    <x v="286"/>
    <d v="2016-12-28T00:00:00"/>
    <x v="1"/>
    <s v="DN-13690"/>
    <s v="Duane Noonan"/>
    <x v="0"/>
    <s v="United States"/>
    <x v="363"/>
    <x v="2"/>
    <x v="1"/>
    <s v="FUR-FU-10001934"/>
    <x v="0"/>
    <x v="3"/>
    <s v="Magnifier Swing Arm Lamp"/>
    <n v="41.96"/>
    <n v="2"/>
    <n v="10.909599999999999"/>
    <x v="6"/>
    <x v="5"/>
  </r>
  <r>
    <s v="CA-2016-159009"/>
    <x v="348"/>
    <d v="2016-09-27T00:00:00"/>
    <x v="1"/>
    <s v="DP-13105"/>
    <s v="Dave Poirier"/>
    <x v="1"/>
    <s v="United States"/>
    <x v="15"/>
    <x v="13"/>
    <x v="1"/>
    <s v="FUR-CH-10003396"/>
    <x v="0"/>
    <x v="1"/>
    <s v="Global Deluxe Steno Chair"/>
    <n v="184.75200000000001"/>
    <n v="3"/>
    <n v="-20.784600000000001"/>
    <x v="4"/>
    <x v="4"/>
  </r>
  <r>
    <s v="CA-2017-148411"/>
    <x v="118"/>
    <d v="2017-09-26T00:00:00"/>
    <x v="2"/>
    <s v="RO-19780"/>
    <s v="Rose O'Brian"/>
    <x v="0"/>
    <s v="United States"/>
    <x v="9"/>
    <x v="8"/>
    <x v="3"/>
    <s v="FUR-CH-10003973"/>
    <x v="0"/>
    <x v="1"/>
    <s v="GuestStacker Chair with Chrome Finish Legs"/>
    <n v="520.46400000000006"/>
    <n v="2"/>
    <n v="-14.8704"/>
    <x v="3"/>
    <x v="4"/>
  </r>
  <r>
    <s v="CA-2016-168046"/>
    <x v="859"/>
    <d v="2016-01-28T00:00:00"/>
    <x v="0"/>
    <s v="JD-15895"/>
    <s v="Jonathan Doherty"/>
    <x v="1"/>
    <s v="United States"/>
    <x v="13"/>
    <x v="7"/>
    <x v="2"/>
    <s v="FUR-TA-10001095"/>
    <x v="0"/>
    <x v="2"/>
    <s v="Chromcraft Round Conference Tables"/>
    <n v="313.72199999999998"/>
    <n v="3"/>
    <n v="-99.345299999999995"/>
    <x v="0"/>
    <x v="8"/>
  </r>
  <r>
    <s v="CA-2016-168046"/>
    <x v="859"/>
    <d v="2016-01-28T00:00:00"/>
    <x v="0"/>
    <s v="JD-15895"/>
    <s v="Jonathan Doherty"/>
    <x v="1"/>
    <s v="United States"/>
    <x v="13"/>
    <x v="7"/>
    <x v="2"/>
    <s v="FUR-FU-10000747"/>
    <x v="0"/>
    <x v="3"/>
    <s v="Tenex B1-RE Series Chair Mats for Low Pile Carpets"/>
    <n v="45.98"/>
    <n v="1"/>
    <n v="7.8166000000000002"/>
    <x v="0"/>
    <x v="8"/>
  </r>
  <r>
    <s v="CA-2017-111591"/>
    <x v="555"/>
    <d v="2017-03-25T00:00:00"/>
    <x v="1"/>
    <s v="PS-18970"/>
    <s v="Paul Stevenson"/>
    <x v="2"/>
    <s v="United States"/>
    <x v="15"/>
    <x v="13"/>
    <x v="1"/>
    <s v="FUR-FU-10002364"/>
    <x v="0"/>
    <x v="3"/>
    <s v="Eldon Expressions Wood Desk Accessories, Oak"/>
    <n v="22.14"/>
    <n v="3"/>
    <n v="6.4206000000000003"/>
    <x v="4"/>
    <x v="9"/>
  </r>
  <r>
    <s v="CA-2017-113460"/>
    <x v="388"/>
    <d v="2017-11-09T00:00:00"/>
    <x v="0"/>
    <s v="KN-16390"/>
    <s v="Katherine Nockton"/>
    <x v="1"/>
    <s v="United States"/>
    <x v="218"/>
    <x v="32"/>
    <x v="2"/>
    <s v="FUR-CH-10000422"/>
    <x v="0"/>
    <x v="1"/>
    <s v="Global Highback Leather Tilter in Burgundy"/>
    <n v="272.97000000000003"/>
    <n v="3"/>
    <n v="43.675199999999997"/>
    <x v="3"/>
    <x v="0"/>
  </r>
  <r>
    <s v="CA-2015-111339"/>
    <x v="860"/>
    <d v="2015-05-31T00:00:00"/>
    <x v="2"/>
    <s v="VP-21760"/>
    <s v="Victoria Pisteka"/>
    <x v="1"/>
    <s v="United States"/>
    <x v="29"/>
    <x v="15"/>
    <x v="2"/>
    <s v="FUR-FU-10002506"/>
    <x v="0"/>
    <x v="3"/>
    <s v="Tensor &quot;Hersey Kiss&quot; Styled Floor Lamp"/>
    <n v="41.567999999999998"/>
    <n v="4"/>
    <n v="-4.1567999999999996"/>
    <x v="3"/>
    <x v="7"/>
  </r>
  <r>
    <s v="CA-2015-111339"/>
    <x v="860"/>
    <d v="2015-05-31T00:00:00"/>
    <x v="2"/>
    <s v="VP-21760"/>
    <s v="Victoria Pisteka"/>
    <x v="1"/>
    <s v="United States"/>
    <x v="29"/>
    <x v="15"/>
    <x v="2"/>
    <s v="FUR-CH-10000863"/>
    <x v="0"/>
    <x v="1"/>
    <s v="Novimex Swivel Fabric Task Chair"/>
    <n v="317.05799999999999"/>
    <n v="3"/>
    <n v="-86.058599999999998"/>
    <x v="3"/>
    <x v="7"/>
  </r>
  <r>
    <s v="CA-2014-154158"/>
    <x v="520"/>
    <d v="2014-12-27T00:00:00"/>
    <x v="0"/>
    <s v="CC-12670"/>
    <s v="Craig Carreira"/>
    <x v="0"/>
    <s v="United States"/>
    <x v="26"/>
    <x v="1"/>
    <x v="0"/>
    <s v="FUR-CH-10004698"/>
    <x v="0"/>
    <x v="1"/>
    <s v="Padded Folding Chairs, Black, 4/Carton"/>
    <n v="64.784000000000006"/>
    <n v="1"/>
    <n v="6.4783999999999997"/>
    <x v="4"/>
    <x v="5"/>
  </r>
  <r>
    <s v="CA-2017-163097"/>
    <x v="60"/>
    <d v="2017-08-31T00:00:00"/>
    <x v="1"/>
    <s v="SF-20200"/>
    <s v="Sarah Foster"/>
    <x v="0"/>
    <s v="United States"/>
    <x v="81"/>
    <x v="22"/>
    <x v="1"/>
    <s v="FUR-FU-10004973"/>
    <x v="0"/>
    <x v="3"/>
    <s v="Flat Face Poster Frame"/>
    <n v="120.57599999999999"/>
    <n v="8"/>
    <n v="33.1584"/>
    <x v="4"/>
    <x v="10"/>
  </r>
  <r>
    <s v="CA-2015-130848"/>
    <x v="551"/>
    <d v="2015-10-25T00:00:00"/>
    <x v="3"/>
    <s v="DG-13300"/>
    <s v="Deirdre Greer"/>
    <x v="1"/>
    <s v="United States"/>
    <x v="22"/>
    <x v="12"/>
    <x v="1"/>
    <s v="FUR-CH-10000422"/>
    <x v="0"/>
    <x v="1"/>
    <s v="Global Highback Leather Tilter in Burgundy"/>
    <n v="582.33600000000001"/>
    <n v="8"/>
    <n v="-29.116800000000001"/>
    <x v="7"/>
    <x v="1"/>
  </r>
  <r>
    <s v="CA-2014-125997"/>
    <x v="23"/>
    <d v="2014-09-23T00:00:00"/>
    <x v="2"/>
    <s v="MW-18220"/>
    <s v="Mitch Webber"/>
    <x v="0"/>
    <s v="United States"/>
    <x v="13"/>
    <x v="7"/>
    <x v="2"/>
    <s v="FUR-CH-10001394"/>
    <x v="0"/>
    <x v="1"/>
    <s v="Global Leather Executive Chair"/>
    <n v="631.78200000000004"/>
    <n v="2"/>
    <n v="140.39599999999999"/>
    <x v="0"/>
    <x v="4"/>
  </r>
  <r>
    <s v="CA-2014-125997"/>
    <x v="23"/>
    <d v="2014-09-23T00:00:00"/>
    <x v="2"/>
    <s v="MW-18220"/>
    <s v="Mitch Webber"/>
    <x v="0"/>
    <s v="United States"/>
    <x v="13"/>
    <x v="7"/>
    <x v="2"/>
    <s v="FUR-BO-10002213"/>
    <x v="0"/>
    <x v="0"/>
    <s v="DMI Eclipse Executive Suite Bookcases"/>
    <n v="801.56799999999998"/>
    <n v="2"/>
    <n v="-10.019600000000001"/>
    <x v="0"/>
    <x v="4"/>
  </r>
  <r>
    <s v="CA-2014-159814"/>
    <x v="861"/>
    <d v="2014-06-28T00:00:00"/>
    <x v="1"/>
    <s v="LP-17080"/>
    <s v="Liz Pelletier"/>
    <x v="0"/>
    <s v="United States"/>
    <x v="104"/>
    <x v="22"/>
    <x v="1"/>
    <s v="FUR-FU-10001731"/>
    <x v="0"/>
    <x v="3"/>
    <s v="Acrylic Self-Standing Desk Frames"/>
    <n v="4.2720000000000002"/>
    <n v="2"/>
    <n v="0.96120000000000005"/>
    <x v="4"/>
    <x v="2"/>
  </r>
  <r>
    <s v="CA-2016-105459"/>
    <x v="577"/>
    <d v="2016-08-17T00:00:00"/>
    <x v="0"/>
    <s v="NP-18700"/>
    <s v="Nora Preis"/>
    <x v="0"/>
    <s v="United States"/>
    <x v="13"/>
    <x v="7"/>
    <x v="2"/>
    <s v="FUR-TA-10001095"/>
    <x v="0"/>
    <x v="2"/>
    <s v="Chromcraft Round Conference Tables"/>
    <n v="209.148"/>
    <n v="2"/>
    <n v="-66.230199999999996"/>
    <x v="2"/>
    <x v="10"/>
  </r>
  <r>
    <s v="CA-2017-162789"/>
    <x v="320"/>
    <d v="2017-09-24T00:00:00"/>
    <x v="0"/>
    <s v="LC-17140"/>
    <s v="Logan Currie"/>
    <x v="0"/>
    <s v="United States"/>
    <x v="13"/>
    <x v="7"/>
    <x v="2"/>
    <s v="FUR-FU-10004864"/>
    <x v="0"/>
    <x v="3"/>
    <s v="Eldon 500 Class Desk Accessories"/>
    <n v="12.07"/>
    <n v="1"/>
    <n v="3.9830999999999999"/>
    <x v="3"/>
    <x v="4"/>
  </r>
  <r>
    <s v="US-2017-110149"/>
    <x v="247"/>
    <d v="2017-12-13T00:00:00"/>
    <x v="2"/>
    <s v="WB-21850"/>
    <s v="William Brown"/>
    <x v="0"/>
    <s v="United States"/>
    <x v="3"/>
    <x v="3"/>
    <x v="2"/>
    <s v="FUR-FU-10001475"/>
    <x v="0"/>
    <x v="3"/>
    <s v="Contract Clock, 14&quot;, Brown"/>
    <n v="87.92"/>
    <n v="5"/>
    <n v="15.385999999999999"/>
    <x v="0"/>
    <x v="5"/>
  </r>
  <r>
    <s v="CA-2015-164777"/>
    <x v="369"/>
    <d v="2015-01-29T00:00:00"/>
    <x v="2"/>
    <s v="SC-20305"/>
    <s v="Sean Christensen"/>
    <x v="0"/>
    <s v="United States"/>
    <x v="2"/>
    <x v="2"/>
    <x v="1"/>
    <s v="FUR-CH-10002024"/>
    <x v="0"/>
    <x v="1"/>
    <s v="HON 5400 Series Task Chairs for Big and Tall"/>
    <n v="2803.92"/>
    <n v="5"/>
    <n v="0"/>
    <x v="3"/>
    <x v="8"/>
  </r>
  <r>
    <s v="CA-2015-127824"/>
    <x v="862"/>
    <d v="2015-10-22T00:00:00"/>
    <x v="1"/>
    <s v="JC-15775"/>
    <s v="John Castell"/>
    <x v="0"/>
    <s v="United States"/>
    <x v="15"/>
    <x v="13"/>
    <x v="1"/>
    <s v="FUR-FU-10002505"/>
    <x v="0"/>
    <x v="3"/>
    <s v="Eldon 100 Class Desk Accessories"/>
    <n v="10.11"/>
    <n v="3"/>
    <n v="3.2351999999999999"/>
    <x v="4"/>
    <x v="1"/>
  </r>
  <r>
    <s v="CA-2014-116246"/>
    <x v="639"/>
    <d v="2014-09-17T00:00:00"/>
    <x v="0"/>
    <s v="LW-17215"/>
    <s v="Luke Weiss"/>
    <x v="0"/>
    <s v="United States"/>
    <x v="13"/>
    <x v="7"/>
    <x v="2"/>
    <s v="FUR-CH-10002024"/>
    <x v="0"/>
    <x v="1"/>
    <s v="HON 5400 Series Task Chairs for Big and Tall"/>
    <n v="3785.2919999999999"/>
    <n v="6"/>
    <n v="420.58800000000002"/>
    <x v="2"/>
    <x v="4"/>
  </r>
  <r>
    <s v="CA-2014-167486"/>
    <x v="863"/>
    <d v="2014-12-01T00:00:00"/>
    <x v="1"/>
    <s v="JO-15145"/>
    <s v="Jack O'Briant"/>
    <x v="1"/>
    <s v="United States"/>
    <x v="252"/>
    <x v="7"/>
    <x v="2"/>
    <s v="FUR-FU-10003268"/>
    <x v="0"/>
    <x v="3"/>
    <s v="Eldon Radial Chair Mat for Low to Medium Pile Carpets"/>
    <n v="199.9"/>
    <n v="5"/>
    <n v="39.979999999999997"/>
    <x v="4"/>
    <x v="0"/>
  </r>
  <r>
    <s v="CA-2014-152100"/>
    <x v="89"/>
    <d v="2014-05-16T00:00:00"/>
    <x v="1"/>
    <s v="VW-21775"/>
    <s v="Victoria Wilson"/>
    <x v="1"/>
    <s v="United States"/>
    <x v="156"/>
    <x v="5"/>
    <x v="3"/>
    <s v="FUR-CH-10000015"/>
    <x v="0"/>
    <x v="1"/>
    <s v="Hon Multipurpose Stacking Arm Chairs"/>
    <n v="1212.96"/>
    <n v="8"/>
    <n v="-69.311999999999998"/>
    <x v="2"/>
    <x v="7"/>
  </r>
  <r>
    <s v="CA-2015-166219"/>
    <x v="797"/>
    <d v="2015-09-01T00:00:00"/>
    <x v="1"/>
    <s v="BP-11185"/>
    <s v="Ben Peterman"/>
    <x v="1"/>
    <s v="United States"/>
    <x v="144"/>
    <x v="5"/>
    <x v="3"/>
    <s v="FUR-TA-10004607"/>
    <x v="0"/>
    <x v="2"/>
    <s v="Hon 2111 Invitation Series Straight Table"/>
    <n v="103.48099999999999"/>
    <n v="1"/>
    <n v="-16.261299999999999"/>
    <x v="4"/>
    <x v="10"/>
  </r>
  <r>
    <s v="CA-2017-136882"/>
    <x v="706"/>
    <d v="2017-06-03T00:00:00"/>
    <x v="1"/>
    <s v="DN-13690"/>
    <s v="Duane Noonan"/>
    <x v="0"/>
    <s v="United States"/>
    <x v="169"/>
    <x v="37"/>
    <x v="3"/>
    <s v="FUR-FU-10003664"/>
    <x v="0"/>
    <x v="3"/>
    <s v="Electrix Architect's Clamp-On Swing Arm Lamp, Black"/>
    <n v="477.3"/>
    <n v="5"/>
    <n v="138.417"/>
    <x v="1"/>
    <x v="7"/>
  </r>
  <r>
    <s v="US-2017-109610"/>
    <x v="608"/>
    <d v="2017-11-30T00:00:00"/>
    <x v="0"/>
    <s v="BS-11590"/>
    <s v="Brendan Sweed"/>
    <x v="1"/>
    <s v="United States"/>
    <x v="74"/>
    <x v="0"/>
    <x v="0"/>
    <s v="FUR-CH-10001854"/>
    <x v="0"/>
    <x v="1"/>
    <s v="Office Star - Professional Matrix Back Chair with 2-to-1 Synchro Tilt and Mesh Fabric Seat"/>
    <n v="701.96"/>
    <n v="2"/>
    <n v="168.47040000000001"/>
    <x v="2"/>
    <x v="0"/>
  </r>
  <r>
    <s v="CA-2016-126858"/>
    <x v="185"/>
    <d v="2016-11-23T00:00:00"/>
    <x v="1"/>
    <s v="JM-15265"/>
    <s v="Janet Molinari"/>
    <x v="1"/>
    <s v="United States"/>
    <x v="15"/>
    <x v="13"/>
    <x v="1"/>
    <s v="FUR-FU-10000448"/>
    <x v="0"/>
    <x v="3"/>
    <s v="Tenex Chairmats For Use With Carpeted Floors"/>
    <n v="31.96"/>
    <n v="2"/>
    <n v="1.5980000000000001"/>
    <x v="4"/>
    <x v="0"/>
  </r>
  <r>
    <s v="CA-2017-102925"/>
    <x v="864"/>
    <d v="2017-11-10T00:00:00"/>
    <x v="0"/>
    <s v="CD-12280"/>
    <s v="Christina DeMoss"/>
    <x v="0"/>
    <s v="United States"/>
    <x v="13"/>
    <x v="7"/>
    <x v="2"/>
    <s v="FUR-TA-10003469"/>
    <x v="0"/>
    <x v="2"/>
    <s v="Balt Split Level Computer Training Table"/>
    <n v="166.5"/>
    <n v="2"/>
    <n v="-66.599999999999994"/>
    <x v="2"/>
    <x v="0"/>
  </r>
  <r>
    <s v="CA-2017-102925"/>
    <x v="864"/>
    <d v="2017-11-10T00:00:00"/>
    <x v="0"/>
    <s v="CD-12280"/>
    <s v="Christina DeMoss"/>
    <x v="0"/>
    <s v="United States"/>
    <x v="13"/>
    <x v="7"/>
    <x v="2"/>
    <s v="FUR-CH-10004875"/>
    <x v="0"/>
    <x v="1"/>
    <s v="Harbour Creations 67200 Series Stacking Chairs"/>
    <n v="128.124"/>
    <n v="2"/>
    <n v="24.2012"/>
    <x v="2"/>
    <x v="0"/>
  </r>
  <r>
    <s v="CA-2017-102925"/>
    <x v="864"/>
    <d v="2017-11-10T00:00:00"/>
    <x v="0"/>
    <s v="CD-12280"/>
    <s v="Christina DeMoss"/>
    <x v="0"/>
    <s v="United States"/>
    <x v="13"/>
    <x v="7"/>
    <x v="2"/>
    <s v="FUR-FU-10004245"/>
    <x v="0"/>
    <x v="3"/>
    <s v="Career Cubicle Clock, 8 1/4&quot;, Black"/>
    <n v="101.4"/>
    <n v="5"/>
    <n v="38.531999999999996"/>
    <x v="2"/>
    <x v="0"/>
  </r>
  <r>
    <s v="CA-2015-100818"/>
    <x v="151"/>
    <d v="2015-06-05T00:00:00"/>
    <x v="0"/>
    <s v="JM-15265"/>
    <s v="Janet Molinari"/>
    <x v="1"/>
    <s v="United States"/>
    <x v="9"/>
    <x v="8"/>
    <x v="3"/>
    <s v="FUR-FU-10002703"/>
    <x v="0"/>
    <x v="3"/>
    <s v="Tenex Traditional Chairmats for Hard Floors, Average Lip, 36&quot; x 48&quot;"/>
    <n v="51.56"/>
    <n v="2"/>
    <n v="-61.872"/>
    <x v="2"/>
    <x v="7"/>
  </r>
  <r>
    <s v="CA-2016-164770"/>
    <x v="674"/>
    <d v="2016-12-04T00:00:00"/>
    <x v="0"/>
    <s v="MY-18295"/>
    <s v="Muhammed Yedwab"/>
    <x v="1"/>
    <s v="United States"/>
    <x v="6"/>
    <x v="5"/>
    <x v="3"/>
    <s v="FUR-BO-10003893"/>
    <x v="0"/>
    <x v="0"/>
    <s v="Sauder Camden County Collection Library"/>
    <n v="781.86400000000003"/>
    <n v="10"/>
    <n v="-137.976"/>
    <x v="3"/>
    <x v="5"/>
  </r>
  <r>
    <s v="CA-2017-130505"/>
    <x v="176"/>
    <d v="2017-10-12T00:00:00"/>
    <x v="3"/>
    <s v="NF-18385"/>
    <s v="Natalie Fritzler"/>
    <x v="0"/>
    <s v="United States"/>
    <x v="167"/>
    <x v="47"/>
    <x v="2"/>
    <s v="FUR-TA-10001932"/>
    <x v="0"/>
    <x v="2"/>
    <s v="Chromcraft 48&quot; x 96&quot; Racetrack Double Pedestal Table"/>
    <n v="673.34400000000005"/>
    <n v="3"/>
    <n v="-76.953599999999994"/>
    <x v="7"/>
    <x v="1"/>
  </r>
  <r>
    <s v="CA-2016-105207"/>
    <x v="865"/>
    <d v="2016-01-08T00:00:00"/>
    <x v="1"/>
    <s v="BO-11350"/>
    <s v="Bill Overfelt"/>
    <x v="1"/>
    <s v="United States"/>
    <x v="364"/>
    <x v="37"/>
    <x v="3"/>
    <s v="FUR-TA-10000617"/>
    <x v="0"/>
    <x v="2"/>
    <s v="Hon Practical Foundations 30 x 60 Training Table, Light Gray/Charcoal"/>
    <n v="1592.85"/>
    <n v="7"/>
    <n v="350.42700000000002"/>
    <x v="2"/>
    <x v="8"/>
  </r>
  <r>
    <s v="CA-2016-149237"/>
    <x v="205"/>
    <d v="2016-05-30T00:00:00"/>
    <x v="1"/>
    <s v="CM-12235"/>
    <s v="Chris McAfee"/>
    <x v="0"/>
    <s v="United States"/>
    <x v="79"/>
    <x v="16"/>
    <x v="3"/>
    <s v="FUR-FU-10002088"/>
    <x v="0"/>
    <x v="3"/>
    <s v="Nu-Dell Float Frame 11 x 14 1/2"/>
    <n v="26.94"/>
    <n v="3"/>
    <n v="11.3148"/>
    <x v="4"/>
    <x v="7"/>
  </r>
  <r>
    <s v="US-2015-158589"/>
    <x v="141"/>
    <d v="2015-11-24T00:00:00"/>
    <x v="1"/>
    <s v="KW-16570"/>
    <s v="Kelly Williams"/>
    <x v="0"/>
    <s v="United States"/>
    <x v="28"/>
    <x v="2"/>
    <x v="1"/>
    <s v="FUR-FU-10001546"/>
    <x v="0"/>
    <x v="3"/>
    <s v="Dana Swing-Arm Lamps"/>
    <n v="32.04"/>
    <n v="3"/>
    <n v="8.01"/>
    <x v="4"/>
    <x v="0"/>
  </r>
  <r>
    <s v="CA-2017-142461"/>
    <x v="703"/>
    <d v="2017-06-03T00:00:00"/>
    <x v="0"/>
    <s v="KT-16480"/>
    <s v="Kean Thornton"/>
    <x v="0"/>
    <s v="United States"/>
    <x v="144"/>
    <x v="5"/>
    <x v="3"/>
    <s v="FUR-BO-10001811"/>
    <x v="0"/>
    <x v="0"/>
    <s v="Atlantic Metals Mobile 5-Shelf Bookcases, Custom Colors"/>
    <n v="204.66640000000001"/>
    <n v="1"/>
    <n v="-6.0195999999999996"/>
    <x v="4"/>
    <x v="7"/>
  </r>
  <r>
    <s v="CA-2017-156958"/>
    <x v="446"/>
    <d v="2017-12-06T00:00:00"/>
    <x v="2"/>
    <s v="PB-18805"/>
    <s v="Patrick Bzostek"/>
    <x v="2"/>
    <s v="United States"/>
    <x v="15"/>
    <x v="13"/>
    <x v="1"/>
    <s v="FUR-FU-10003268"/>
    <x v="0"/>
    <x v="3"/>
    <s v="Eldon Radial Chair Mat for Low to Medium Pile Carpets"/>
    <n v="199.9"/>
    <n v="5"/>
    <n v="39.979999999999997"/>
    <x v="5"/>
    <x v="5"/>
  </r>
  <r>
    <s v="CA-2016-116596"/>
    <x v="78"/>
    <d v="2016-10-31T00:00:00"/>
    <x v="1"/>
    <s v="BW-11200"/>
    <s v="Ben Wallace"/>
    <x v="0"/>
    <s v="United States"/>
    <x v="13"/>
    <x v="7"/>
    <x v="2"/>
    <s v="FUR-CH-10000553"/>
    <x v="0"/>
    <x v="1"/>
    <s v="Metal Folding Chairs, Beige, 4/Carton"/>
    <n v="427.64400000000001"/>
    <n v="14"/>
    <n v="80.777199999999993"/>
    <x v="4"/>
    <x v="1"/>
  </r>
  <r>
    <s v="CA-2017-124191"/>
    <x v="235"/>
    <d v="2017-06-14T00:00:00"/>
    <x v="0"/>
    <s v="TS-21610"/>
    <s v="Troy Staebel"/>
    <x v="0"/>
    <s v="United States"/>
    <x v="9"/>
    <x v="8"/>
    <x v="3"/>
    <s v="FUR-FU-10002364"/>
    <x v="0"/>
    <x v="3"/>
    <s v="Eldon Expressions Wood Desk Accessories, Oak"/>
    <n v="8.8559999999999999"/>
    <n v="3"/>
    <n v="-6.8634000000000004"/>
    <x v="3"/>
    <x v="2"/>
  </r>
  <r>
    <s v="CA-2016-148747"/>
    <x v="228"/>
    <d v="2016-09-27T00:00:00"/>
    <x v="2"/>
    <s v="AS-10045"/>
    <s v="Aaron Smayling"/>
    <x v="1"/>
    <s v="United States"/>
    <x v="28"/>
    <x v="2"/>
    <x v="1"/>
    <s v="FUR-BO-10002613"/>
    <x v="0"/>
    <x v="0"/>
    <s v="Atlantic Metals Mobile 4-Shelf Bookcases, Custom Colors"/>
    <n v="477.666"/>
    <n v="2"/>
    <n v="84.293999999999997"/>
    <x v="3"/>
    <x v="4"/>
  </r>
  <r>
    <s v="CA-2015-135727"/>
    <x v="866"/>
    <d v="2015-05-16T00:00:00"/>
    <x v="0"/>
    <s v="PS-18970"/>
    <s v="Paul Stevenson"/>
    <x v="2"/>
    <s v="United States"/>
    <x v="43"/>
    <x v="22"/>
    <x v="1"/>
    <s v="FUR-CH-10004540"/>
    <x v="0"/>
    <x v="1"/>
    <s v="Global Chrome Stack Chair"/>
    <n v="191.96799999999999"/>
    <n v="7"/>
    <n v="16.7972"/>
    <x v="2"/>
    <x v="7"/>
  </r>
  <r>
    <s v="CA-2015-135251"/>
    <x v="867"/>
    <d v="2015-08-10T00:00:00"/>
    <x v="1"/>
    <s v="RP-19270"/>
    <s v="Rachel Payne"/>
    <x v="1"/>
    <s v="United States"/>
    <x v="6"/>
    <x v="5"/>
    <x v="3"/>
    <s v="FUR-BO-10003965"/>
    <x v="0"/>
    <x v="0"/>
    <s v="O'Sullivan Manor Hill 2-Door Library in Brianna Oak"/>
    <n v="369.19920000000002"/>
    <n v="3"/>
    <n v="-114.01739999999999"/>
    <x v="4"/>
    <x v="10"/>
  </r>
  <r>
    <s v="CA-2016-125724"/>
    <x v="710"/>
    <d v="2016-09-27T00:00:00"/>
    <x v="1"/>
    <s v="SM-20950"/>
    <s v="Suzanne McNair"/>
    <x v="1"/>
    <s v="United States"/>
    <x v="131"/>
    <x v="12"/>
    <x v="1"/>
    <s v="FUR-FU-10000246"/>
    <x v="0"/>
    <x v="3"/>
    <s v="Aluminum Document Frame"/>
    <n v="68.432000000000002"/>
    <n v="7"/>
    <n v="8.5540000000000003"/>
    <x v="2"/>
    <x v="4"/>
  </r>
  <r>
    <s v="CA-2015-111612"/>
    <x v="44"/>
    <d v="2015-12-02T00:00:00"/>
    <x v="1"/>
    <s v="EB-14110"/>
    <s v="Eugene Barchas"/>
    <x v="0"/>
    <s v="United States"/>
    <x v="29"/>
    <x v="15"/>
    <x v="2"/>
    <s v="FUR-FU-10003799"/>
    <x v="0"/>
    <x v="3"/>
    <s v="Seth Thomas 13 1/2&quot; Wall Clock"/>
    <n v="71.12"/>
    <n v="5"/>
    <n v="9.7789999999999999"/>
    <x v="4"/>
    <x v="0"/>
  </r>
  <r>
    <s v="CA-2014-103086"/>
    <x v="868"/>
    <d v="2014-10-19T00:00:00"/>
    <x v="0"/>
    <s v="EB-14170"/>
    <s v="Evan Bailliet"/>
    <x v="0"/>
    <s v="United States"/>
    <x v="6"/>
    <x v="5"/>
    <x v="3"/>
    <s v="FUR-FU-10004586"/>
    <x v="0"/>
    <x v="3"/>
    <s v="G.E. Longer-Life Indoor Recessed Floodlight Bulbs"/>
    <n v="5.3120000000000003"/>
    <n v="2"/>
    <n v="-1.5935999999999999"/>
    <x v="3"/>
    <x v="1"/>
  </r>
  <r>
    <s v="CA-2016-129280"/>
    <x v="869"/>
    <d v="2016-05-05T00:00:00"/>
    <x v="2"/>
    <s v="SM-20905"/>
    <s v="Susan MacKendrick"/>
    <x v="0"/>
    <s v="United States"/>
    <x v="19"/>
    <x v="15"/>
    <x v="2"/>
    <s v="FUR-FU-10001876"/>
    <x v="0"/>
    <x v="3"/>
    <s v="Computer Room Manger, 14&quot;"/>
    <n v="51.968000000000004"/>
    <n v="2"/>
    <n v="10.393599999999999"/>
    <x v="3"/>
    <x v="7"/>
  </r>
  <r>
    <s v="CA-2014-130428"/>
    <x v="870"/>
    <d v="2014-03-31T00:00:00"/>
    <x v="3"/>
    <s v="TG-21640"/>
    <s v="Trudy Glocke"/>
    <x v="0"/>
    <s v="United States"/>
    <x v="26"/>
    <x v="1"/>
    <x v="0"/>
    <s v="FUR-CH-10002965"/>
    <x v="0"/>
    <x v="1"/>
    <s v="Global Leather Highback Executive Chair with Pneumatic Height Adjustment, Black"/>
    <n v="1125.4880000000001"/>
    <n v="7"/>
    <n v="98.480199999999996"/>
    <x v="7"/>
    <x v="9"/>
  </r>
  <r>
    <s v="CA-2015-148495"/>
    <x v="871"/>
    <d v="2015-08-13T00:00:00"/>
    <x v="3"/>
    <s v="SF-20065"/>
    <s v="Sandra Flanagan"/>
    <x v="0"/>
    <s v="United States"/>
    <x v="135"/>
    <x v="2"/>
    <x v="1"/>
    <s v="FUR-FU-10001889"/>
    <x v="0"/>
    <x v="3"/>
    <s v="Ultra Door Pull Handle"/>
    <n v="31.56"/>
    <n v="3"/>
    <n v="10.4148"/>
    <x v="7"/>
    <x v="10"/>
  </r>
  <r>
    <s v="CA-2015-143147"/>
    <x v="753"/>
    <d v="2015-05-28T00:00:00"/>
    <x v="0"/>
    <s v="PS-18760"/>
    <s v="Pamela Stobb"/>
    <x v="0"/>
    <s v="United States"/>
    <x v="21"/>
    <x v="5"/>
    <x v="3"/>
    <s v="FUR-CH-10000863"/>
    <x v="0"/>
    <x v="1"/>
    <s v="Novimex Swivel Fabric Task Chair"/>
    <n v="105.68600000000001"/>
    <n v="1"/>
    <n v="-28.686199999999999"/>
    <x v="3"/>
    <x v="7"/>
  </r>
  <r>
    <s v="CA-2015-143147"/>
    <x v="753"/>
    <d v="2015-05-28T00:00:00"/>
    <x v="0"/>
    <s v="PS-18760"/>
    <s v="Pamela Stobb"/>
    <x v="0"/>
    <s v="United States"/>
    <x v="21"/>
    <x v="5"/>
    <x v="3"/>
    <s v="FUR-CH-10004754"/>
    <x v="0"/>
    <x v="1"/>
    <s v="Global Stack Chair with Arms, Black"/>
    <n v="104.93"/>
    <n v="5"/>
    <n v="-4.4969999999999999"/>
    <x v="3"/>
    <x v="7"/>
  </r>
  <r>
    <s v="CA-2017-152975"/>
    <x v="732"/>
    <d v="2017-09-16T00:00:00"/>
    <x v="2"/>
    <s v="RB-19705"/>
    <s v="Roger Barcio"/>
    <x v="2"/>
    <s v="United States"/>
    <x v="13"/>
    <x v="7"/>
    <x v="2"/>
    <s v="FUR-CH-10003298"/>
    <x v="0"/>
    <x v="1"/>
    <s v="Office Star - Contemporary Task Swivel chair with Loop Arms, Charcoal"/>
    <n v="589.41"/>
    <n v="5"/>
    <n v="-6.5490000000000004"/>
    <x v="3"/>
    <x v="4"/>
  </r>
  <r>
    <s v="CA-2017-116127"/>
    <x v="542"/>
    <d v="2017-06-27T00:00:00"/>
    <x v="0"/>
    <s v="SB-20185"/>
    <s v="Sarah Brown"/>
    <x v="0"/>
    <s v="United States"/>
    <x v="13"/>
    <x v="7"/>
    <x v="2"/>
    <s v="FUR-BO-10002213"/>
    <x v="0"/>
    <x v="0"/>
    <s v="DMI Eclipse Executive Suite Bookcases"/>
    <n v="400.78399999999999"/>
    <n v="1"/>
    <n v="-5.0098000000000003"/>
    <x v="3"/>
    <x v="2"/>
  </r>
  <r>
    <s v="US-2016-105452"/>
    <x v="830"/>
    <d v="2016-08-01T00:00:00"/>
    <x v="1"/>
    <s v="BF-11005"/>
    <s v="Barry Franz"/>
    <x v="2"/>
    <s v="United States"/>
    <x v="102"/>
    <x v="5"/>
    <x v="3"/>
    <s v="FUR-FU-10003691"/>
    <x v="0"/>
    <x v="3"/>
    <s v="Eldon Image Series Desk Accessories, Ebony"/>
    <n v="24.7"/>
    <n v="5"/>
    <n v="-9.8800000000000008"/>
    <x v="4"/>
    <x v="3"/>
  </r>
  <r>
    <s v="US-2016-105452"/>
    <x v="830"/>
    <d v="2016-08-01T00:00:00"/>
    <x v="1"/>
    <s v="BF-11005"/>
    <s v="Barry Franz"/>
    <x v="2"/>
    <s v="United States"/>
    <x v="102"/>
    <x v="5"/>
    <x v="3"/>
    <s v="FUR-FU-10003806"/>
    <x v="0"/>
    <x v="3"/>
    <s v="Tenex Chairmat w/ Average Lip, 45&quot; x 53&quot;"/>
    <n v="302.72000000000003"/>
    <n v="5"/>
    <n v="-378.4"/>
    <x v="4"/>
    <x v="3"/>
  </r>
  <r>
    <s v="CA-2015-149517"/>
    <x v="208"/>
    <d v="2015-09-23T00:00:00"/>
    <x v="1"/>
    <s v="FC-14245"/>
    <s v="Frank Carlisle"/>
    <x v="2"/>
    <s v="United States"/>
    <x v="155"/>
    <x v="2"/>
    <x v="1"/>
    <s v="FUR-FU-10003464"/>
    <x v="0"/>
    <x v="3"/>
    <s v="Seth Thomas 8 1/2&quot; Cubicle Clock"/>
    <n v="60.84"/>
    <n v="3"/>
    <n v="19.468800000000002"/>
    <x v="4"/>
    <x v="4"/>
  </r>
  <r>
    <s v="CA-2016-129861"/>
    <x v="9"/>
    <d v="2016-06-23T00:00:00"/>
    <x v="1"/>
    <s v="DM-13345"/>
    <s v="Denise Monton"/>
    <x v="1"/>
    <s v="United States"/>
    <x v="77"/>
    <x v="7"/>
    <x v="2"/>
    <s v="FUR-TA-10003715"/>
    <x v="0"/>
    <x v="2"/>
    <s v="Hon 2111 Invitation Series Corner Table"/>
    <n v="376.86599999999999"/>
    <n v="3"/>
    <n v="-213.5574"/>
    <x v="6"/>
    <x v="2"/>
  </r>
  <r>
    <s v="CA-2016-130638"/>
    <x v="872"/>
    <d v="2016-05-19T00:00:00"/>
    <x v="0"/>
    <s v="SC-20095"/>
    <s v="Sanjit Chand"/>
    <x v="0"/>
    <s v="United States"/>
    <x v="2"/>
    <x v="2"/>
    <x v="1"/>
    <s v="FUR-FU-10002116"/>
    <x v="0"/>
    <x v="3"/>
    <s v="Tenex Carpeted, Granite-Look or Clear Contemporary Contour Shape Chair Mats"/>
    <n v="282.83999999999997"/>
    <n v="4"/>
    <n v="19.7988"/>
    <x v="0"/>
    <x v="7"/>
  </r>
  <r>
    <s v="CA-2017-137449"/>
    <x v="656"/>
    <d v="2017-06-30T00:00:00"/>
    <x v="2"/>
    <s v="ME-17725"/>
    <s v="Max Engle"/>
    <x v="0"/>
    <s v="United States"/>
    <x v="144"/>
    <x v="5"/>
    <x v="3"/>
    <s v="FUR-TA-10002855"/>
    <x v="0"/>
    <x v="2"/>
    <s v="Bevis Round Conference Table Top &amp; Single Column Base"/>
    <n v="307.31400000000002"/>
    <n v="3"/>
    <n v="-39.511800000000001"/>
    <x v="5"/>
    <x v="2"/>
  </r>
  <r>
    <s v="CA-2017-137449"/>
    <x v="656"/>
    <d v="2017-06-30T00:00:00"/>
    <x v="2"/>
    <s v="ME-17725"/>
    <s v="Max Engle"/>
    <x v="0"/>
    <s v="United States"/>
    <x v="144"/>
    <x v="5"/>
    <x v="3"/>
    <s v="FUR-BO-10000780"/>
    <x v="0"/>
    <x v="0"/>
    <s v="O'Sullivan Plantations 2-Door Library in Landvery Oak"/>
    <n v="409.99919999999997"/>
    <n v="3"/>
    <n v="-96.470399999999998"/>
    <x v="5"/>
    <x v="2"/>
  </r>
  <r>
    <s v="CA-2014-151330"/>
    <x v="873"/>
    <d v="2014-10-17T00:00:00"/>
    <x v="2"/>
    <s v="TC-21295"/>
    <s v="Toby Carlisle"/>
    <x v="0"/>
    <s v="United States"/>
    <x v="114"/>
    <x v="20"/>
    <x v="2"/>
    <s v="FUR-CH-10000749"/>
    <x v="0"/>
    <x v="1"/>
    <s v="Office Star - Ergonomic Mid Back Chair with 2-Way Adjustable Arms"/>
    <n v="1628.82"/>
    <n v="9"/>
    <n v="260.6112"/>
    <x v="0"/>
    <x v="1"/>
  </r>
  <r>
    <s v="CA-2014-124702"/>
    <x v="356"/>
    <d v="2014-11-25T00:00:00"/>
    <x v="1"/>
    <s v="MH-17785"/>
    <s v="Maya Herman"/>
    <x v="1"/>
    <s v="United States"/>
    <x v="15"/>
    <x v="13"/>
    <x v="1"/>
    <s v="FUR-FU-10003553"/>
    <x v="0"/>
    <x v="3"/>
    <s v="Howard Miller 13-1/2&quot; Diameter Rosebrook Wall Clock"/>
    <n v="137.54"/>
    <n v="2"/>
    <n v="55.015999999999998"/>
    <x v="1"/>
    <x v="0"/>
  </r>
  <r>
    <s v="CA-2014-124702"/>
    <x v="356"/>
    <d v="2014-11-25T00:00:00"/>
    <x v="1"/>
    <s v="MH-17785"/>
    <s v="Maya Herman"/>
    <x v="1"/>
    <s v="United States"/>
    <x v="15"/>
    <x v="13"/>
    <x v="1"/>
    <s v="FUR-TA-10003008"/>
    <x v="0"/>
    <x v="2"/>
    <s v="Lesro Round Back Collection Coffee Table, End Table"/>
    <n v="730.2"/>
    <n v="4"/>
    <n v="94.926000000000002"/>
    <x v="1"/>
    <x v="0"/>
  </r>
  <r>
    <s v="CA-2015-116638"/>
    <x v="874"/>
    <d v="2015-01-31T00:00:00"/>
    <x v="0"/>
    <s v="JH-15985"/>
    <s v="Joseph Holt"/>
    <x v="0"/>
    <s v="United States"/>
    <x v="41"/>
    <x v="30"/>
    <x v="0"/>
    <s v="FUR-TA-10000198"/>
    <x v="0"/>
    <x v="2"/>
    <s v="Chromcraft Bull-Nose Wood Oval Conference Tables &amp; Bases"/>
    <n v="4297.6440000000002"/>
    <n v="13"/>
    <n v="-1862.3124"/>
    <x v="0"/>
    <x v="8"/>
  </r>
  <r>
    <s v="CA-2014-104563"/>
    <x v="600"/>
    <d v="2014-03-12T00:00:00"/>
    <x v="1"/>
    <s v="CM-12715"/>
    <s v="Craig Molinari"/>
    <x v="1"/>
    <s v="United States"/>
    <x v="15"/>
    <x v="13"/>
    <x v="1"/>
    <s v="FUR-CH-10002780"/>
    <x v="0"/>
    <x v="1"/>
    <s v="Office Star - Task Chair with Contemporary Loop Arms"/>
    <n v="436.70400000000001"/>
    <n v="6"/>
    <n v="21.8352"/>
    <x v="2"/>
    <x v="9"/>
  </r>
  <r>
    <s v="CA-2014-104563"/>
    <x v="600"/>
    <d v="2014-03-12T00:00:00"/>
    <x v="1"/>
    <s v="CM-12715"/>
    <s v="Craig Molinari"/>
    <x v="1"/>
    <s v="United States"/>
    <x v="15"/>
    <x v="13"/>
    <x v="1"/>
    <s v="FUR-CH-10004495"/>
    <x v="0"/>
    <x v="1"/>
    <s v="Global Leather and Oak Executive Chair, Black"/>
    <n v="481.56799999999998"/>
    <n v="2"/>
    <n v="54.176400000000001"/>
    <x v="2"/>
    <x v="9"/>
  </r>
  <r>
    <s v="CA-2016-107104"/>
    <x v="675"/>
    <d v="2016-11-30T00:00:00"/>
    <x v="1"/>
    <s v="MS-17365"/>
    <s v="Maribeth Schnelling"/>
    <x v="0"/>
    <s v="United States"/>
    <x v="2"/>
    <x v="2"/>
    <x v="1"/>
    <s v="FUR-BO-10002213"/>
    <x v="0"/>
    <x v="0"/>
    <s v="DMI Eclipse Executive Suite Bookcases"/>
    <n v="3406.6640000000002"/>
    <n v="8"/>
    <n v="160.31360000000001"/>
    <x v="4"/>
    <x v="0"/>
  </r>
  <r>
    <s v="CA-2016-107104"/>
    <x v="675"/>
    <d v="2016-11-30T00:00:00"/>
    <x v="1"/>
    <s v="MS-17365"/>
    <s v="Maribeth Schnelling"/>
    <x v="0"/>
    <s v="United States"/>
    <x v="2"/>
    <x v="2"/>
    <x v="1"/>
    <s v="FUR-FU-10002937"/>
    <x v="0"/>
    <x v="3"/>
    <s v="GE 48&quot; Fluorescent Tube, Cool White Energy Saver, 34 Watts, 30/Box"/>
    <n v="595.38"/>
    <n v="6"/>
    <n v="297.69"/>
    <x v="4"/>
    <x v="0"/>
  </r>
  <r>
    <s v="CA-2014-156160"/>
    <x v="875"/>
    <d v="2014-09-29T00:00:00"/>
    <x v="1"/>
    <s v="AS-10090"/>
    <s v="Adam Shillingsburg"/>
    <x v="0"/>
    <s v="United States"/>
    <x v="13"/>
    <x v="7"/>
    <x v="2"/>
    <s v="FUR-FU-10001876"/>
    <x v="0"/>
    <x v="3"/>
    <s v="Computer Room Manger, 14&quot;"/>
    <n v="97.44"/>
    <n v="3"/>
    <n v="35.078400000000002"/>
    <x v="1"/>
    <x v="4"/>
  </r>
  <r>
    <s v="CA-2014-156160"/>
    <x v="875"/>
    <d v="2014-09-29T00:00:00"/>
    <x v="1"/>
    <s v="AS-10090"/>
    <s v="Adam Shillingsburg"/>
    <x v="0"/>
    <s v="United States"/>
    <x v="13"/>
    <x v="7"/>
    <x v="2"/>
    <s v="FUR-CH-10004983"/>
    <x v="0"/>
    <x v="1"/>
    <s v="Office Star - Mid Back Dual function Ergonomic High Back Chair with 2-Way Adjustable Arms"/>
    <n v="579.52800000000002"/>
    <n v="4"/>
    <n v="83.709599999999995"/>
    <x v="1"/>
    <x v="4"/>
  </r>
  <r>
    <s v="CA-2017-157448"/>
    <x v="716"/>
    <d v="2017-11-20T00:00:00"/>
    <x v="1"/>
    <s v="LC-16885"/>
    <s v="Lena Creighton"/>
    <x v="0"/>
    <s v="United States"/>
    <x v="2"/>
    <x v="2"/>
    <x v="1"/>
    <s v="FUR-FU-10003268"/>
    <x v="0"/>
    <x v="3"/>
    <s v="Eldon Radial Chair Mat for Low to Medium Pile Carpets"/>
    <n v="119.94"/>
    <n v="3"/>
    <n v="23.988"/>
    <x v="4"/>
    <x v="0"/>
  </r>
  <r>
    <s v="CA-2017-157448"/>
    <x v="716"/>
    <d v="2017-11-20T00:00:00"/>
    <x v="1"/>
    <s v="LC-16885"/>
    <s v="Lena Creighton"/>
    <x v="0"/>
    <s v="United States"/>
    <x v="2"/>
    <x v="2"/>
    <x v="1"/>
    <s v="FUR-FU-10001847"/>
    <x v="0"/>
    <x v="3"/>
    <s v="Eldon Image Series Black Desk Accessories"/>
    <n v="12.42"/>
    <n v="3"/>
    <n v="4.4711999999999996"/>
    <x v="4"/>
    <x v="0"/>
  </r>
  <r>
    <s v="CA-2016-137393"/>
    <x v="349"/>
    <d v="2016-05-10T00:00:00"/>
    <x v="1"/>
    <s v="GM-14500"/>
    <s v="Gene McClure"/>
    <x v="0"/>
    <s v="United States"/>
    <x v="175"/>
    <x v="2"/>
    <x v="1"/>
    <s v="FUR-FU-10001617"/>
    <x v="0"/>
    <x v="3"/>
    <s v="Executive Impressions 8-1/2&quot; Career Panel/Partition Cubicle Clock"/>
    <n v="41.6"/>
    <n v="4"/>
    <n v="14.144"/>
    <x v="4"/>
    <x v="7"/>
  </r>
  <r>
    <s v="CA-2017-122770"/>
    <x v="838"/>
    <d v="2017-12-18T00:00:00"/>
    <x v="1"/>
    <s v="EP-13915"/>
    <s v="Emily Phan"/>
    <x v="0"/>
    <s v="United States"/>
    <x v="28"/>
    <x v="2"/>
    <x v="1"/>
    <s v="FUR-FU-10001473"/>
    <x v="0"/>
    <x v="3"/>
    <s v="Eldon Executive Woodline II Desk Accessories, Mahogany"/>
    <n v="201.04"/>
    <n v="8"/>
    <n v="54.280799999999999"/>
    <x v="2"/>
    <x v="5"/>
  </r>
  <r>
    <s v="CA-2015-130183"/>
    <x v="18"/>
    <d v="2015-11-17T00:00:00"/>
    <x v="1"/>
    <s v="PO-18850"/>
    <s v="Patrick O'Brill"/>
    <x v="0"/>
    <s v="United States"/>
    <x v="6"/>
    <x v="5"/>
    <x v="3"/>
    <s v="FUR-BO-10001811"/>
    <x v="0"/>
    <x v="0"/>
    <s v="Atlantic Metals Mobile 5-Shelf Bookcases, Custom Colors"/>
    <n v="613.99919999999997"/>
    <n v="3"/>
    <n v="-18.058800000000002"/>
    <x v="4"/>
    <x v="0"/>
  </r>
  <r>
    <s v="CA-2016-122511"/>
    <x v="237"/>
    <d v="2016-03-11T00:00:00"/>
    <x v="3"/>
    <s v="BT-11485"/>
    <s v="Brad Thomas"/>
    <x v="2"/>
    <s v="United States"/>
    <x v="3"/>
    <x v="3"/>
    <x v="2"/>
    <s v="FUR-FU-10001037"/>
    <x v="0"/>
    <x v="3"/>
    <s v="DAX Charcoal/Nickel-Tone Document Frame, 5 x 7"/>
    <n v="30.335999999999999"/>
    <n v="4"/>
    <n v="9.48"/>
    <x v="7"/>
    <x v="9"/>
  </r>
  <r>
    <s v="CA-2016-161746"/>
    <x v="59"/>
    <d v="2016-10-27T00:00:00"/>
    <x v="1"/>
    <s v="CS-11950"/>
    <s v="Carlos Soltero"/>
    <x v="0"/>
    <s v="United States"/>
    <x v="2"/>
    <x v="2"/>
    <x v="1"/>
    <s v="FUR-CH-10004626"/>
    <x v="0"/>
    <x v="1"/>
    <s v="Office Star Flex Back Scooter Chair with Aluminum Finish Frame"/>
    <n v="242.136"/>
    <n v="3"/>
    <n v="12.1068"/>
    <x v="6"/>
    <x v="1"/>
  </r>
  <r>
    <s v="CA-2016-161746"/>
    <x v="59"/>
    <d v="2016-10-27T00:00:00"/>
    <x v="1"/>
    <s v="CS-11950"/>
    <s v="Carlos Soltero"/>
    <x v="0"/>
    <s v="United States"/>
    <x v="2"/>
    <x v="2"/>
    <x v="1"/>
    <s v="FUR-FU-10003731"/>
    <x v="0"/>
    <x v="3"/>
    <s v="Eldon Expressions Wood and Plastic Desk Accessories, Oak"/>
    <n v="19.96"/>
    <n v="2"/>
    <n v="5.5888"/>
    <x v="6"/>
    <x v="1"/>
  </r>
  <r>
    <s v="CA-2014-114251"/>
    <x v="726"/>
    <d v="2014-11-10T00:00:00"/>
    <x v="1"/>
    <s v="MD-17350"/>
    <s v="Maribeth Dona"/>
    <x v="0"/>
    <s v="United States"/>
    <x v="3"/>
    <x v="3"/>
    <x v="2"/>
    <s v="FUR-FU-10001468"/>
    <x v="0"/>
    <x v="3"/>
    <s v="Tenex Antistatic Computer Chair Mats"/>
    <n v="273.56799999999998"/>
    <n v="2"/>
    <n v="-34.195999999999998"/>
    <x v="2"/>
    <x v="0"/>
  </r>
  <r>
    <s v="CA-2016-119641"/>
    <x v="710"/>
    <d v="2016-09-26T00:00:00"/>
    <x v="1"/>
    <s v="CS-12250"/>
    <s v="Chris Selesnick"/>
    <x v="1"/>
    <s v="United States"/>
    <x v="356"/>
    <x v="16"/>
    <x v="3"/>
    <s v="FUR-FU-10002445"/>
    <x v="0"/>
    <x v="3"/>
    <s v="DAX Two-Tone Rosewood/Black Document Frame, Desktop, 5 x 7"/>
    <n v="18.96"/>
    <n v="2"/>
    <n v="7.5839999999999996"/>
    <x v="4"/>
    <x v="4"/>
  </r>
  <r>
    <s v="CA-2016-105781"/>
    <x v="285"/>
    <d v="2016-02-20T00:00:00"/>
    <x v="1"/>
    <s v="JF-15565"/>
    <s v="Jill Fjeld"/>
    <x v="0"/>
    <s v="United States"/>
    <x v="13"/>
    <x v="7"/>
    <x v="2"/>
    <s v="FUR-CH-10001802"/>
    <x v="0"/>
    <x v="1"/>
    <s v="Hon Every-Day Chair Series Swivel Task Chairs"/>
    <n v="326.64600000000002"/>
    <n v="3"/>
    <n v="39.923400000000001"/>
    <x v="4"/>
    <x v="11"/>
  </r>
  <r>
    <s v="CA-2014-114321"/>
    <x v="663"/>
    <d v="2014-08-25T00:00:00"/>
    <x v="1"/>
    <s v="NC-18535"/>
    <s v="Nick Crebassa"/>
    <x v="1"/>
    <s v="United States"/>
    <x v="247"/>
    <x v="25"/>
    <x v="0"/>
    <s v="FUR-CH-10001797"/>
    <x v="0"/>
    <x v="1"/>
    <s v="Safco Chair Connectors, 6/Carton"/>
    <n v="500.24"/>
    <n v="13"/>
    <n v="145.06960000000001"/>
    <x v="2"/>
    <x v="10"/>
  </r>
  <r>
    <s v="CA-2015-117086"/>
    <x v="428"/>
    <d v="2015-11-12T00:00:00"/>
    <x v="1"/>
    <s v="QJ-19255"/>
    <s v="Quincy Jones"/>
    <x v="1"/>
    <s v="United States"/>
    <x v="259"/>
    <x v="43"/>
    <x v="2"/>
    <s v="FUR-BO-10004834"/>
    <x v="0"/>
    <x v="0"/>
    <s v="Riverside Palais Royal Lawyers Bookcase, Royale Cherry Finish"/>
    <n v="4404.8999999999996"/>
    <n v="5"/>
    <n v="1013.127"/>
    <x v="4"/>
    <x v="0"/>
  </r>
  <r>
    <s v="CA-2017-137505"/>
    <x v="241"/>
    <d v="2017-11-24T00:00:00"/>
    <x v="3"/>
    <s v="BP-11290"/>
    <s v="Beth Paige"/>
    <x v="0"/>
    <s v="United States"/>
    <x v="2"/>
    <x v="2"/>
    <x v="1"/>
    <s v="FUR-TA-10000617"/>
    <x v="0"/>
    <x v="2"/>
    <s v="Hon Practical Foundations 30 x 60 Training Table, Light Gray/Charcoal"/>
    <n v="364.08"/>
    <n v="2"/>
    <n v="9.1020000000000003"/>
    <x v="7"/>
    <x v="0"/>
  </r>
  <r>
    <s v="CA-2017-137505"/>
    <x v="241"/>
    <d v="2017-11-24T00:00:00"/>
    <x v="3"/>
    <s v="BP-11290"/>
    <s v="Beth Paige"/>
    <x v="0"/>
    <s v="United States"/>
    <x v="2"/>
    <x v="2"/>
    <x v="1"/>
    <s v="FUR-TA-10001676"/>
    <x v="0"/>
    <x v="2"/>
    <s v="Hon 61000 Series Interactive Training Tables"/>
    <n v="71.087999999999994"/>
    <n v="2"/>
    <n v="-1.7771999999999999"/>
    <x v="7"/>
    <x v="0"/>
  </r>
  <r>
    <s v="US-2014-140914"/>
    <x v="163"/>
    <d v="2014-11-15T00:00:00"/>
    <x v="1"/>
    <s v="BH-11710"/>
    <s v="Brosina Hoffman"/>
    <x v="0"/>
    <s v="United States"/>
    <x v="9"/>
    <x v="8"/>
    <x v="3"/>
    <s v="FUR-FU-10000175"/>
    <x v="0"/>
    <x v="3"/>
    <s v="DAX Wood Document Frame."/>
    <n v="10.984"/>
    <n v="2"/>
    <n v="-7.9634"/>
    <x v="4"/>
    <x v="0"/>
  </r>
  <r>
    <s v="US-2014-140914"/>
    <x v="163"/>
    <d v="2014-11-15T00:00:00"/>
    <x v="1"/>
    <s v="BH-11710"/>
    <s v="Brosina Hoffman"/>
    <x v="0"/>
    <s v="United States"/>
    <x v="9"/>
    <x v="8"/>
    <x v="3"/>
    <s v="FUR-CH-10003379"/>
    <x v="0"/>
    <x v="1"/>
    <s v="Global Commerce Series High-Back Swivel/Tilt Chairs"/>
    <n v="797.94399999999996"/>
    <n v="4"/>
    <n v="-56.996000000000002"/>
    <x v="4"/>
    <x v="0"/>
  </r>
  <r>
    <s v="CA-2017-113705"/>
    <x v="582"/>
    <d v="2017-03-29T00:00:00"/>
    <x v="0"/>
    <s v="LC-16870"/>
    <s v="Lena Cacioppo"/>
    <x v="0"/>
    <s v="United States"/>
    <x v="52"/>
    <x v="25"/>
    <x v="0"/>
    <s v="FUR-TA-10002533"/>
    <x v="0"/>
    <x v="2"/>
    <s v="BPI Conference Tables"/>
    <n v="292.10000000000002"/>
    <n v="2"/>
    <n v="58.42"/>
    <x v="3"/>
    <x v="9"/>
  </r>
  <r>
    <s v="CA-2016-146913"/>
    <x v="359"/>
    <d v="2016-11-05T00:00:00"/>
    <x v="1"/>
    <s v="SF-20965"/>
    <s v="Sylvia Foulston"/>
    <x v="1"/>
    <s v="United States"/>
    <x v="28"/>
    <x v="2"/>
    <x v="1"/>
    <s v="FUR-CH-10001854"/>
    <x v="0"/>
    <x v="1"/>
    <s v="Office Star - Professional Matrix Back Chair with 2-to-1 Synchro Tilt and Mesh Fabric Seat"/>
    <n v="1403.92"/>
    <n v="5"/>
    <n v="70.195999999999998"/>
    <x v="2"/>
    <x v="1"/>
  </r>
  <r>
    <s v="CA-2016-123533"/>
    <x v="243"/>
    <d v="2016-11-30T00:00:00"/>
    <x v="1"/>
    <s v="SC-20050"/>
    <s v="Sample Company A"/>
    <x v="2"/>
    <s v="United States"/>
    <x v="173"/>
    <x v="1"/>
    <x v="0"/>
    <s v="FUR-BO-10001619"/>
    <x v="0"/>
    <x v="0"/>
    <s v="O'Sullivan Cherrywood Estates Traditional Bookcase"/>
    <n v="339.92"/>
    <n v="5"/>
    <n v="8.4979999999999993"/>
    <x v="6"/>
    <x v="0"/>
  </r>
  <r>
    <s v="CA-2014-169019"/>
    <x v="503"/>
    <d v="2014-07-30T00:00:00"/>
    <x v="1"/>
    <s v="LF-17185"/>
    <s v="Luke Foster"/>
    <x v="0"/>
    <s v="United States"/>
    <x v="21"/>
    <x v="5"/>
    <x v="3"/>
    <s v="FUR-FU-10004666"/>
    <x v="0"/>
    <x v="3"/>
    <s v="DAX Clear Channel Poster Frame"/>
    <n v="17.495999999999999"/>
    <n v="3"/>
    <n v="-10.0602"/>
    <x v="4"/>
    <x v="3"/>
  </r>
  <r>
    <s v="CA-2015-149748"/>
    <x v="151"/>
    <d v="2015-06-02T00:00:00"/>
    <x v="0"/>
    <s v="EM-13825"/>
    <s v="Elizabeth Moffitt"/>
    <x v="1"/>
    <s v="United States"/>
    <x v="309"/>
    <x v="18"/>
    <x v="2"/>
    <s v="FUR-FU-10001847"/>
    <x v="0"/>
    <x v="3"/>
    <s v="Eldon Image Series Black Desk Accessories"/>
    <n v="8.2799999999999994"/>
    <n v="2"/>
    <n v="2.9807999999999999"/>
    <x v="3"/>
    <x v="7"/>
  </r>
  <r>
    <s v="US-2014-114377"/>
    <x v="726"/>
    <d v="2014-11-05T00:00:00"/>
    <x v="3"/>
    <s v="BG-11035"/>
    <s v="Barry Gonzalez"/>
    <x v="0"/>
    <s v="United States"/>
    <x v="247"/>
    <x v="25"/>
    <x v="0"/>
    <s v="FUR-CH-10004754"/>
    <x v="0"/>
    <x v="1"/>
    <s v="Global Stack Chair with Arms, Black"/>
    <n v="149.9"/>
    <n v="5"/>
    <n v="40.472999999999999"/>
    <x v="7"/>
    <x v="0"/>
  </r>
  <r>
    <s v="CA-2017-144491"/>
    <x v="582"/>
    <d v="2017-04-01T00:00:00"/>
    <x v="1"/>
    <s v="CJ-12010"/>
    <s v="Caroline Jumper"/>
    <x v="0"/>
    <s v="United States"/>
    <x v="6"/>
    <x v="5"/>
    <x v="3"/>
    <s v="FUR-BO-10001811"/>
    <x v="0"/>
    <x v="0"/>
    <s v="Atlantic Metals Mobile 5-Shelf Bookcases, Custom Colors"/>
    <n v="1023.332"/>
    <n v="5"/>
    <n v="-30.097999999999999"/>
    <x v="2"/>
    <x v="9"/>
  </r>
  <r>
    <s v="CA-2017-144491"/>
    <x v="582"/>
    <d v="2017-04-01T00:00:00"/>
    <x v="1"/>
    <s v="CJ-12010"/>
    <s v="Caroline Jumper"/>
    <x v="0"/>
    <s v="United States"/>
    <x v="6"/>
    <x v="5"/>
    <x v="3"/>
    <s v="FUR-CH-10004063"/>
    <x v="0"/>
    <x v="1"/>
    <s v="Global Deluxe High-Back Manager's Chair"/>
    <n v="600.55799999999999"/>
    <n v="3"/>
    <n v="-8.5793999999999997"/>
    <x v="2"/>
    <x v="9"/>
  </r>
  <r>
    <s v="CA-2017-144491"/>
    <x v="582"/>
    <d v="2017-04-01T00:00:00"/>
    <x v="1"/>
    <s v="CJ-12010"/>
    <s v="Caroline Jumper"/>
    <x v="0"/>
    <s v="United States"/>
    <x v="6"/>
    <x v="5"/>
    <x v="3"/>
    <s v="FUR-CH-10001714"/>
    <x v="0"/>
    <x v="1"/>
    <s v="Global Leather &amp; Oak Executive Chair, Burgundy"/>
    <n v="211.24600000000001"/>
    <n v="2"/>
    <n v="-66.391599999999997"/>
    <x v="2"/>
    <x v="9"/>
  </r>
  <r>
    <s v="CA-2014-127166"/>
    <x v="876"/>
    <d v="2014-05-23T00:00:00"/>
    <x v="0"/>
    <s v="KH-16360"/>
    <s v="Katherine Hughes"/>
    <x v="0"/>
    <s v="United States"/>
    <x v="6"/>
    <x v="5"/>
    <x v="3"/>
    <s v="FUR-CH-10003396"/>
    <x v="0"/>
    <x v="1"/>
    <s v="Global Deluxe Steno Chair"/>
    <n v="107.77200000000001"/>
    <n v="2"/>
    <n v="-29.252400000000002"/>
    <x v="3"/>
    <x v="7"/>
  </r>
  <r>
    <s v="CA-2015-122973"/>
    <x v="877"/>
    <d v="2015-07-20T00:00:00"/>
    <x v="0"/>
    <s v="PJ-19015"/>
    <s v="Pauline Johnson"/>
    <x v="0"/>
    <s v="United States"/>
    <x v="13"/>
    <x v="7"/>
    <x v="2"/>
    <s v="FUR-FU-10002364"/>
    <x v="0"/>
    <x v="3"/>
    <s v="Eldon Expressions Wood Desk Accessories, Oak"/>
    <n v="7.38"/>
    <n v="1"/>
    <n v="2.1402000000000001"/>
    <x v="3"/>
    <x v="3"/>
  </r>
  <r>
    <s v="CA-2016-136322"/>
    <x v="59"/>
    <d v="2016-10-26T00:00:00"/>
    <x v="1"/>
    <s v="AP-10720"/>
    <s v="Anne Pryor"/>
    <x v="2"/>
    <s v="United States"/>
    <x v="1"/>
    <x v="1"/>
    <x v="0"/>
    <s v="FUR-FU-10002878"/>
    <x v="0"/>
    <x v="3"/>
    <s v="Seth Thomas 14&quot; Day/Date Wall Clock"/>
    <n v="45.567999999999998"/>
    <n v="2"/>
    <n v="9.6831999999999994"/>
    <x v="2"/>
    <x v="1"/>
  </r>
  <r>
    <s v="CA-2017-107209"/>
    <x v="534"/>
    <d v="2017-08-01T00:00:00"/>
    <x v="0"/>
    <s v="JW-15955"/>
    <s v="Joni Wasserman"/>
    <x v="0"/>
    <s v="United States"/>
    <x v="168"/>
    <x v="30"/>
    <x v="0"/>
    <s v="FUR-CH-10001146"/>
    <x v="0"/>
    <x v="1"/>
    <s v="Global Value Mid-Back Manager's Chair, Gray"/>
    <n v="194.84800000000001"/>
    <n v="4"/>
    <n v="12.178000000000001"/>
    <x v="2"/>
    <x v="3"/>
  </r>
  <r>
    <s v="CA-2015-162201"/>
    <x v="878"/>
    <d v="2015-06-12T00:00:00"/>
    <x v="1"/>
    <s v="AG-10495"/>
    <s v="Andrew Gjertsen"/>
    <x v="1"/>
    <s v="United States"/>
    <x v="66"/>
    <x v="1"/>
    <x v="0"/>
    <s v="FUR-FU-10001185"/>
    <x v="0"/>
    <x v="3"/>
    <s v="Advantus Employee of the Month Certificate Frame, 11 x 13-1/2"/>
    <n v="173.208"/>
    <n v="7"/>
    <n v="45.467100000000002"/>
    <x v="4"/>
    <x v="2"/>
  </r>
  <r>
    <s v="US-2014-164406"/>
    <x v="879"/>
    <d v="2014-08-19T00:00:00"/>
    <x v="1"/>
    <s v="BD-11605"/>
    <s v="Brian Dahlen"/>
    <x v="0"/>
    <s v="United States"/>
    <x v="28"/>
    <x v="2"/>
    <x v="1"/>
    <s v="FUR-CH-10003833"/>
    <x v="0"/>
    <x v="1"/>
    <s v="Novimex Fabric Task Chair"/>
    <n v="195.136"/>
    <n v="4"/>
    <n v="-12.196"/>
    <x v="4"/>
    <x v="10"/>
  </r>
  <r>
    <s v="US-2017-152842"/>
    <x v="3"/>
    <d v="2017-07-23T00:00:00"/>
    <x v="1"/>
    <s v="NF-18385"/>
    <s v="Natalie Fritzler"/>
    <x v="0"/>
    <s v="United States"/>
    <x v="127"/>
    <x v="30"/>
    <x v="0"/>
    <s v="FUR-CH-10004218"/>
    <x v="0"/>
    <x v="1"/>
    <s v="Global Fabric Manager's Chair, Dark Gray"/>
    <n v="242.352"/>
    <n v="3"/>
    <n v="15.147"/>
    <x v="1"/>
    <x v="3"/>
  </r>
  <r>
    <s v="CA-2014-113257"/>
    <x v="439"/>
    <d v="2014-12-18T00:00:00"/>
    <x v="0"/>
    <s v="SC-20305"/>
    <s v="Sean Christensen"/>
    <x v="0"/>
    <s v="United States"/>
    <x v="365"/>
    <x v="5"/>
    <x v="3"/>
    <s v="FUR-FU-10001706"/>
    <x v="0"/>
    <x v="3"/>
    <s v="Longer-Life Soft White Bulbs"/>
    <n v="8.6240000000000006"/>
    <n v="7"/>
    <n v="-2.5872000000000002"/>
    <x v="3"/>
    <x v="5"/>
  </r>
  <r>
    <s v="CA-2016-126627"/>
    <x v="792"/>
    <d v="2016-10-12T00:00:00"/>
    <x v="2"/>
    <s v="WB-21850"/>
    <s v="William Brown"/>
    <x v="0"/>
    <s v="United States"/>
    <x v="101"/>
    <x v="5"/>
    <x v="3"/>
    <s v="FUR-FU-10004963"/>
    <x v="0"/>
    <x v="3"/>
    <s v="Eldon 400 Class Desk Accessories, Black Carbon"/>
    <n v="14"/>
    <n v="4"/>
    <n v="-6.3"/>
    <x v="3"/>
    <x v="1"/>
  </r>
  <r>
    <s v="US-2016-125402"/>
    <x v="228"/>
    <d v="2016-10-01T00:00:00"/>
    <x v="1"/>
    <s v="DL-12865"/>
    <s v="Dan Lawera"/>
    <x v="0"/>
    <s v="United States"/>
    <x v="62"/>
    <x v="2"/>
    <x v="1"/>
    <s v="FUR-CH-10000665"/>
    <x v="0"/>
    <x v="1"/>
    <s v="Global Airflow Leather Mesh Back Chair, Black"/>
    <n v="483.13600000000002"/>
    <n v="4"/>
    <n v="60.392000000000003"/>
    <x v="6"/>
    <x v="4"/>
  </r>
  <r>
    <s v="CA-2014-163867"/>
    <x v="270"/>
    <d v="2014-06-06T00:00:00"/>
    <x v="2"/>
    <s v="RE-19450"/>
    <s v="Richard Eichhorn"/>
    <x v="0"/>
    <s v="United States"/>
    <x v="42"/>
    <x v="8"/>
    <x v="3"/>
    <s v="FUR-FU-10001475"/>
    <x v="0"/>
    <x v="3"/>
    <s v="Contract Clock, 14&quot;, Brown"/>
    <n v="61.543999999999997"/>
    <n v="7"/>
    <n v="-40.003599999999999"/>
    <x v="0"/>
    <x v="2"/>
  </r>
  <r>
    <s v="CA-2017-169327"/>
    <x v="113"/>
    <d v="2017-09-04T00:00:00"/>
    <x v="0"/>
    <s v="MH-17290"/>
    <s v="Marc Harrigan"/>
    <x v="2"/>
    <s v="United States"/>
    <x v="2"/>
    <x v="2"/>
    <x v="1"/>
    <s v="FUR-FU-10004188"/>
    <x v="0"/>
    <x v="3"/>
    <s v="Luxo Professional Combination Clamp-On Lamps"/>
    <n v="511.5"/>
    <n v="5"/>
    <n v="132.99"/>
    <x v="3"/>
    <x v="4"/>
  </r>
  <r>
    <s v="CA-2016-158155"/>
    <x v="630"/>
    <d v="2016-05-06T00:00:00"/>
    <x v="1"/>
    <s v="EH-13765"/>
    <s v="Edward Hooks"/>
    <x v="1"/>
    <s v="United States"/>
    <x v="13"/>
    <x v="7"/>
    <x v="2"/>
    <s v="FUR-FU-10000732"/>
    <x v="0"/>
    <x v="3"/>
    <s v="Eldon 200 Class Desk Accessories"/>
    <n v="12.56"/>
    <n v="2"/>
    <n v="4.0191999999999997"/>
    <x v="4"/>
    <x v="7"/>
  </r>
  <r>
    <s v="CA-2016-158155"/>
    <x v="630"/>
    <d v="2016-05-06T00:00:00"/>
    <x v="1"/>
    <s v="EH-13765"/>
    <s v="Edward Hooks"/>
    <x v="1"/>
    <s v="United States"/>
    <x v="13"/>
    <x v="7"/>
    <x v="2"/>
    <s v="FUR-FU-10002253"/>
    <x v="0"/>
    <x v="3"/>
    <s v="Howard Miller 13&quot; Diameter Pewter Finish Round Wall Clock"/>
    <n v="214.7"/>
    <n v="5"/>
    <n v="83.733000000000004"/>
    <x v="4"/>
    <x v="7"/>
  </r>
  <r>
    <s v="CA-2017-138870"/>
    <x v="744"/>
    <d v="2017-06-23T00:00:00"/>
    <x v="1"/>
    <s v="GA-14515"/>
    <s v="George Ashbrook"/>
    <x v="0"/>
    <s v="United States"/>
    <x v="28"/>
    <x v="2"/>
    <x v="1"/>
    <s v="FUR-FU-10002396"/>
    <x v="0"/>
    <x v="3"/>
    <s v="DAX Copper Panel Document Frame, 5 x 7 Size"/>
    <n v="50.32"/>
    <n v="4"/>
    <n v="21.134399999999999"/>
    <x v="4"/>
    <x v="2"/>
  </r>
  <r>
    <s v="CA-2015-164301"/>
    <x v="880"/>
    <d v="2015-03-30T00:00:00"/>
    <x v="1"/>
    <s v="EB-13840"/>
    <s v="Ellis Ballard"/>
    <x v="1"/>
    <s v="United States"/>
    <x v="15"/>
    <x v="13"/>
    <x v="1"/>
    <s v="FUR-TA-10001889"/>
    <x v="0"/>
    <x v="2"/>
    <s v="Bush Advantage Collection Racetrack Conference Table"/>
    <n v="3393.68"/>
    <n v="8"/>
    <n v="610.86239999999998"/>
    <x v="4"/>
    <x v="9"/>
  </r>
  <r>
    <s v="CA-2017-113278"/>
    <x v="881"/>
    <d v="2017-01-20T00:00:00"/>
    <x v="1"/>
    <s v="HR-14770"/>
    <s v="Hallie Redmond"/>
    <x v="2"/>
    <s v="United States"/>
    <x v="52"/>
    <x v="6"/>
    <x v="3"/>
    <s v="FUR-FU-10001037"/>
    <x v="0"/>
    <x v="3"/>
    <s v="DAX Charcoal/Nickel-Tone Document Frame, 5 x 7"/>
    <n v="18.96"/>
    <n v="2"/>
    <n v="8.532"/>
    <x v="6"/>
    <x v="8"/>
  </r>
  <r>
    <s v="CA-2014-114195"/>
    <x v="770"/>
    <d v="2014-11-03T00:00:00"/>
    <x v="2"/>
    <s v="EA-14035"/>
    <s v="Erin Ashbrook"/>
    <x v="1"/>
    <s v="United States"/>
    <x v="366"/>
    <x v="15"/>
    <x v="2"/>
    <s v="FUR-FU-10002253"/>
    <x v="0"/>
    <x v="3"/>
    <s v="Howard Miller 13&quot; Diameter Pewter Finish Round Wall Clock"/>
    <n v="68.703999999999994"/>
    <n v="2"/>
    <n v="16.3172"/>
    <x v="3"/>
    <x v="0"/>
  </r>
  <r>
    <s v="CA-2016-122581"/>
    <x v="650"/>
    <d v="2016-08-25T00:00:00"/>
    <x v="1"/>
    <s v="JK-15370"/>
    <s v="Jay Kimmel"/>
    <x v="0"/>
    <s v="United States"/>
    <x v="13"/>
    <x v="7"/>
    <x v="2"/>
    <s v="FUR-CH-10002961"/>
    <x v="0"/>
    <x v="1"/>
    <s v="Leather Task Chair, Black"/>
    <n v="573.17399999999998"/>
    <n v="7"/>
    <n v="63.686"/>
    <x v="4"/>
    <x v="10"/>
  </r>
  <r>
    <s v="US-2016-115441"/>
    <x v="81"/>
    <d v="2016-07-28T00:00:00"/>
    <x v="0"/>
    <s v="SH-19975"/>
    <s v="Sally Hughsby"/>
    <x v="1"/>
    <s v="United States"/>
    <x v="79"/>
    <x v="16"/>
    <x v="3"/>
    <s v="FUR-CH-10004626"/>
    <x v="0"/>
    <x v="1"/>
    <s v="Office Star Flex Back Scooter Chair with Aluminum Finish Frame"/>
    <n v="403.56"/>
    <n v="4"/>
    <n v="96.854399999999998"/>
    <x v="0"/>
    <x v="3"/>
  </r>
  <r>
    <s v="US-2016-115441"/>
    <x v="81"/>
    <d v="2016-07-28T00:00:00"/>
    <x v="0"/>
    <s v="SH-19975"/>
    <s v="Sally Hughsby"/>
    <x v="1"/>
    <s v="United States"/>
    <x v="79"/>
    <x v="16"/>
    <x v="3"/>
    <s v="FUR-FU-10001756"/>
    <x v="0"/>
    <x v="3"/>
    <s v="Eldon Expressions Desk Accessory, Wood Photo Frame, Mahogany"/>
    <n v="95.2"/>
    <n v="5"/>
    <n v="27.608000000000001"/>
    <x v="0"/>
    <x v="3"/>
  </r>
  <r>
    <s v="CA-2016-112830"/>
    <x v="882"/>
    <d v="2016-06-10T00:00:00"/>
    <x v="1"/>
    <s v="LP-17095"/>
    <s v="Liz Preis"/>
    <x v="0"/>
    <s v="United States"/>
    <x v="130"/>
    <x v="15"/>
    <x v="2"/>
    <s v="FUR-FU-10004306"/>
    <x v="0"/>
    <x v="3"/>
    <s v="Electrix Halogen Magnifier Lamp"/>
    <n v="466.32"/>
    <n v="3"/>
    <n v="34.973999999999997"/>
    <x v="4"/>
    <x v="2"/>
  </r>
  <r>
    <s v="CA-2016-112830"/>
    <x v="882"/>
    <d v="2016-06-10T00:00:00"/>
    <x v="1"/>
    <s v="LP-17095"/>
    <s v="Liz Preis"/>
    <x v="0"/>
    <s v="United States"/>
    <x v="130"/>
    <x v="15"/>
    <x v="2"/>
    <s v="FUR-FU-10004845"/>
    <x v="0"/>
    <x v="3"/>
    <s v="Deflect-o EconoMat Nonstudded, No Bevel Mat"/>
    <n v="82.64"/>
    <n v="2"/>
    <n v="0"/>
    <x v="4"/>
    <x v="2"/>
  </r>
  <r>
    <s v="US-2014-117380"/>
    <x v="786"/>
    <d v="2014-04-03T00:00:00"/>
    <x v="1"/>
    <s v="MP-18175"/>
    <s v="Mike Pelletier"/>
    <x v="2"/>
    <s v="United States"/>
    <x v="76"/>
    <x v="15"/>
    <x v="2"/>
    <s v="FUR-TA-10000198"/>
    <x v="0"/>
    <x v="2"/>
    <s v="Chromcraft Bull-Nose Wood Oval Conference Tables &amp; Bases"/>
    <n v="330.58800000000002"/>
    <n v="1"/>
    <n v="-143.25479999999999"/>
    <x v="6"/>
    <x v="9"/>
  </r>
  <r>
    <s v="CA-2017-117646"/>
    <x v="67"/>
    <d v="2017-08-25T00:00:00"/>
    <x v="1"/>
    <s v="SC-20845"/>
    <s v="Sung Chung"/>
    <x v="0"/>
    <s v="United States"/>
    <x v="74"/>
    <x v="12"/>
    <x v="1"/>
    <s v="FUR-FU-10001037"/>
    <x v="0"/>
    <x v="3"/>
    <s v="DAX Charcoal/Nickel-Tone Document Frame, 5 x 7"/>
    <n v="22.751999999999999"/>
    <n v="3"/>
    <n v="7.11"/>
    <x v="4"/>
    <x v="10"/>
  </r>
  <r>
    <s v="CA-2014-122609"/>
    <x v="352"/>
    <d v="2014-11-18T00:00:00"/>
    <x v="1"/>
    <s v="DP-13000"/>
    <s v="Darren Powers"/>
    <x v="0"/>
    <s v="United States"/>
    <x v="118"/>
    <x v="5"/>
    <x v="3"/>
    <s v="FUR-FU-10004587"/>
    <x v="0"/>
    <x v="3"/>
    <s v="GE General Use Halogen Bulbs, 100 Watts, 1 Bulb per Pack"/>
    <n v="25.128"/>
    <n v="3"/>
    <n v="-6.9101999999999997"/>
    <x v="6"/>
    <x v="0"/>
  </r>
  <r>
    <s v="US-2015-129007"/>
    <x v="615"/>
    <d v="2015-09-15T00:00:00"/>
    <x v="2"/>
    <s v="KD-16615"/>
    <s v="Ken Dana"/>
    <x v="1"/>
    <s v="United States"/>
    <x v="261"/>
    <x v="2"/>
    <x v="1"/>
    <s v="FUR-FU-10004973"/>
    <x v="0"/>
    <x v="3"/>
    <s v="Flat Face Poster Frame"/>
    <n v="131.88"/>
    <n v="7"/>
    <n v="55.389600000000002"/>
    <x v="3"/>
    <x v="4"/>
  </r>
  <r>
    <s v="US-2015-129007"/>
    <x v="615"/>
    <d v="2015-09-15T00:00:00"/>
    <x v="2"/>
    <s v="KD-16615"/>
    <s v="Ken Dana"/>
    <x v="1"/>
    <s v="United States"/>
    <x v="261"/>
    <x v="2"/>
    <x v="1"/>
    <s v="FUR-CH-10000155"/>
    <x v="0"/>
    <x v="1"/>
    <s v="Global Comet Stacking Armless Chair"/>
    <n v="717.72"/>
    <n v="3"/>
    <n v="71.772000000000006"/>
    <x v="3"/>
    <x v="4"/>
  </r>
  <r>
    <s v="US-2015-129007"/>
    <x v="615"/>
    <d v="2015-09-15T00:00:00"/>
    <x v="2"/>
    <s v="KD-16615"/>
    <s v="Ken Dana"/>
    <x v="1"/>
    <s v="United States"/>
    <x v="261"/>
    <x v="2"/>
    <x v="1"/>
    <s v="FUR-FU-10002379"/>
    <x v="0"/>
    <x v="3"/>
    <s v="Eldon Econocleat Chair Mats for Low Pile Carpets"/>
    <n v="207.35"/>
    <n v="5"/>
    <n v="24.882000000000001"/>
    <x v="3"/>
    <x v="4"/>
  </r>
  <r>
    <s v="US-2015-129007"/>
    <x v="615"/>
    <d v="2015-09-15T00:00:00"/>
    <x v="2"/>
    <s v="KD-16615"/>
    <s v="Ken Dana"/>
    <x v="1"/>
    <s v="United States"/>
    <x v="261"/>
    <x v="2"/>
    <x v="1"/>
    <s v="FUR-FU-10004018"/>
    <x v="0"/>
    <x v="3"/>
    <s v="Tensor Computer Mounted Lamp"/>
    <n v="44.67"/>
    <n v="3"/>
    <n v="12.0609"/>
    <x v="3"/>
    <x v="4"/>
  </r>
  <r>
    <s v="CA-2015-132388"/>
    <x v="883"/>
    <d v="2015-10-12T00:00:00"/>
    <x v="2"/>
    <s v="KN-16390"/>
    <s v="Katherine Nockton"/>
    <x v="1"/>
    <s v="United States"/>
    <x v="367"/>
    <x v="2"/>
    <x v="1"/>
    <s v="FUR-CH-10001714"/>
    <x v="0"/>
    <x v="1"/>
    <s v="Global Leather &amp; Oak Executive Chair, Burgundy"/>
    <n v="362.13600000000002"/>
    <n v="3"/>
    <n v="-54.320399999999999"/>
    <x v="3"/>
    <x v="1"/>
  </r>
  <r>
    <s v="CA-2017-160927"/>
    <x v="884"/>
    <d v="2017-01-31T00:00:00"/>
    <x v="0"/>
    <s v="TM-21010"/>
    <s v="Tamara Manning"/>
    <x v="0"/>
    <s v="United States"/>
    <x v="149"/>
    <x v="26"/>
    <x v="3"/>
    <s v="FUR-FU-10000010"/>
    <x v="0"/>
    <x v="3"/>
    <s v="DAX Value U-Channel Document Frames, Easel Back"/>
    <n v="14.91"/>
    <n v="3"/>
    <n v="4.6220999999999997"/>
    <x v="3"/>
    <x v="8"/>
  </r>
  <r>
    <s v="CA-2016-149272"/>
    <x v="775"/>
    <d v="2016-03-19T00:00:00"/>
    <x v="1"/>
    <s v="MY-18295"/>
    <s v="Muhammed Yedwab"/>
    <x v="1"/>
    <s v="United States"/>
    <x v="368"/>
    <x v="5"/>
    <x v="3"/>
    <s v="FUR-CH-10000863"/>
    <x v="0"/>
    <x v="1"/>
    <s v="Novimex Swivel Fabric Task Chair"/>
    <n v="528.42999999999995"/>
    <n v="5"/>
    <n v="-143.43100000000001"/>
    <x v="4"/>
    <x v="9"/>
  </r>
  <r>
    <s v="CA-2016-129630"/>
    <x v="631"/>
    <d v="2016-09-04T00:00:00"/>
    <x v="3"/>
    <s v="IM-15055"/>
    <s v="Ionia McGrath"/>
    <x v="0"/>
    <s v="United States"/>
    <x v="28"/>
    <x v="2"/>
    <x v="1"/>
    <s v="FUR-FU-10000260"/>
    <x v="0"/>
    <x v="3"/>
    <s v="6&quot; Cubicle Wall Clock, Black"/>
    <n v="24.27"/>
    <n v="3"/>
    <n v="8.7371999999999996"/>
    <x v="7"/>
    <x v="4"/>
  </r>
  <r>
    <s v="CA-2015-104948"/>
    <x v="18"/>
    <d v="2015-11-17T00:00:00"/>
    <x v="1"/>
    <s v="KH-16510"/>
    <s v="Keith Herrera"/>
    <x v="0"/>
    <s v="United States"/>
    <x v="369"/>
    <x v="2"/>
    <x v="1"/>
    <s v="FUR-BO-10004357"/>
    <x v="0"/>
    <x v="0"/>
    <s v="O'Sullivan Living Dimensions 3-Shelf Bookcases"/>
    <n v="683.33199999999999"/>
    <n v="4"/>
    <n v="-40.195999999999998"/>
    <x v="4"/>
    <x v="0"/>
  </r>
  <r>
    <s v="CA-2016-164889"/>
    <x v="885"/>
    <d v="2016-06-06T00:00:00"/>
    <x v="0"/>
    <s v="CP-12340"/>
    <s v="Christine Phan"/>
    <x v="1"/>
    <s v="United States"/>
    <x v="2"/>
    <x v="2"/>
    <x v="1"/>
    <s v="FUR-TA-10001676"/>
    <x v="0"/>
    <x v="2"/>
    <s v="Hon 61000 Series Interactive Training Tables"/>
    <n v="71.087999999999994"/>
    <n v="2"/>
    <n v="-1.7771999999999999"/>
    <x v="0"/>
    <x v="2"/>
  </r>
  <r>
    <s v="CA-2016-169824"/>
    <x v="574"/>
    <d v="2016-12-17T00:00:00"/>
    <x v="1"/>
    <s v="NS-18640"/>
    <s v="Noel Staavos"/>
    <x v="1"/>
    <s v="United States"/>
    <x v="13"/>
    <x v="7"/>
    <x v="2"/>
    <s v="FUR-FU-10004864"/>
    <x v="0"/>
    <x v="3"/>
    <s v="Eldon 500 Class Desk Accessories"/>
    <n v="60.35"/>
    <n v="5"/>
    <n v="19.915500000000002"/>
    <x v="2"/>
    <x v="5"/>
  </r>
  <r>
    <s v="CA-2017-121559"/>
    <x v="886"/>
    <d v="2017-06-03T00:00:00"/>
    <x v="0"/>
    <s v="HW-14935"/>
    <s v="Helen Wasserman"/>
    <x v="1"/>
    <s v="United States"/>
    <x v="370"/>
    <x v="6"/>
    <x v="3"/>
    <s v="FUR-CH-10003746"/>
    <x v="0"/>
    <x v="1"/>
    <s v="Hon 4070 Series Pagoda Round Back Stacking Chairs"/>
    <n v="1925.88"/>
    <n v="6"/>
    <n v="539.24639999999999"/>
    <x v="3"/>
    <x v="2"/>
  </r>
  <r>
    <s v="CA-2015-141593"/>
    <x v="646"/>
    <d v="2015-12-16T00:00:00"/>
    <x v="0"/>
    <s v="DB-12970"/>
    <s v="Darren Budd"/>
    <x v="1"/>
    <s v="United States"/>
    <x v="2"/>
    <x v="2"/>
    <x v="1"/>
    <s v="FUR-TA-10002622"/>
    <x v="0"/>
    <x v="2"/>
    <s v="Bush Andora Conference Table, Maple/Graphite Gray Finish"/>
    <n v="273.56799999999998"/>
    <n v="2"/>
    <n v="10.258800000000001"/>
    <x v="3"/>
    <x v="5"/>
  </r>
  <r>
    <s v="CA-2015-168088"/>
    <x v="887"/>
    <d v="2015-03-22T00:00:00"/>
    <x v="2"/>
    <s v="CM-12655"/>
    <s v="Corinna Mitchell"/>
    <x v="2"/>
    <s v="United States"/>
    <x v="6"/>
    <x v="5"/>
    <x v="3"/>
    <s v="FUR-BO-10004218"/>
    <x v="0"/>
    <x v="0"/>
    <s v="Bush Heritage Pine Collection 5-Shelf Bookcase, Albany Pine Finish, *Special Order"/>
    <n v="383.46559999999999"/>
    <n v="4"/>
    <n v="-67.670400000000001"/>
    <x v="0"/>
    <x v="9"/>
  </r>
  <r>
    <s v="CA-2016-146374"/>
    <x v="28"/>
    <d v="2016-12-10T00:00:00"/>
    <x v="0"/>
    <s v="HE-14800"/>
    <s v="Harold Engle"/>
    <x v="1"/>
    <s v="United States"/>
    <x v="19"/>
    <x v="14"/>
    <x v="2"/>
    <s v="FUR-FU-10002671"/>
    <x v="0"/>
    <x v="3"/>
    <s v="Electrix 20W Halogen Replacement Bulb for Zoom-In Desk Lamp"/>
    <n v="13.4"/>
    <n v="1"/>
    <n v="6.4320000000000004"/>
    <x v="2"/>
    <x v="5"/>
  </r>
  <r>
    <s v="US-2015-151435"/>
    <x v="329"/>
    <d v="2015-09-09T00:00:00"/>
    <x v="0"/>
    <s v="SW-20455"/>
    <s v="Shaun Weien"/>
    <x v="0"/>
    <s v="United States"/>
    <x v="120"/>
    <x v="35"/>
    <x v="0"/>
    <s v="FUR-TA-10001039"/>
    <x v="0"/>
    <x v="2"/>
    <s v="KI Adjustable-Height Table"/>
    <n v="85.98"/>
    <n v="1"/>
    <n v="22.354800000000001"/>
    <x v="0"/>
    <x v="4"/>
  </r>
  <r>
    <s v="CA-2014-110422"/>
    <x v="888"/>
    <d v="2014-01-23T00:00:00"/>
    <x v="0"/>
    <s v="TB-21400"/>
    <s v="Tom Boeckenhauer"/>
    <x v="0"/>
    <s v="United States"/>
    <x v="89"/>
    <x v="1"/>
    <x v="0"/>
    <s v="FUR-FU-10001889"/>
    <x v="0"/>
    <x v="3"/>
    <s v="Ultra Door Pull Handle"/>
    <n v="25.248000000000001"/>
    <n v="3"/>
    <n v="4.1028000000000002"/>
    <x v="3"/>
    <x v="8"/>
  </r>
  <r>
    <s v="CA-2017-121258"/>
    <x v="194"/>
    <d v="2017-03-03T00:00:00"/>
    <x v="1"/>
    <s v="DB-13060"/>
    <s v="Dave Brooks"/>
    <x v="0"/>
    <s v="United States"/>
    <x v="46"/>
    <x v="2"/>
    <x v="1"/>
    <s v="FUR-FU-10000747"/>
    <x v="0"/>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3B173-3E7A-4E45-8E4B-FB257A0CE1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41FA82-E5D8-4B73-B0A9-D780F64EA4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27"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0" baseItem="0" numFmtId="164"/>
  </dataFields>
  <formats count="1">
    <format dxfId="0">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362248-AE3B-4DA0-A688-E53EF95B31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5:K44"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10"/>
  </dataFields>
  <formats count="3">
    <format dxfId="3">
      <pivotArea outline="0" collapsedLevelsAreSubtotals="1" fieldPosition="0"/>
    </format>
    <format dxfId="2">
      <pivotArea outline="0" fieldPosition="0">
        <references count="1">
          <reference field="4294967294" count="1">
            <x v="0"/>
          </reference>
        </references>
      </pivotArea>
    </format>
    <format dxfId="1">
      <pivotArea collapsedLevelsAreSubtotals="1" fieldPosition="0">
        <references count="1">
          <reference field="18"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DFB83-DAE2-400A-A2C7-FB1831EA24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E16" firstHeaderRow="0"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7D68E8-54B7-40F9-8E61-114FE5366A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3:K68"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9C804B-18F0-4EA2-BE0D-E19420EA51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92"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dataFields>
  <formats count="1">
    <format dxfId="4">
      <pivotArea collapsedLevelsAreSubtotals="1" fieldPosition="0">
        <references count="1">
          <reference field="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FA184F-5062-430A-9494-9F8292BF3A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3:C36"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4"/>
  </dataFields>
  <formats count="1">
    <format dxfId="5">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CED7FF-F693-4949-AF44-9A09011270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51:K56"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5">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3" count="1" selected="0">
            <x v="0"/>
          </reference>
        </references>
      </pivotArea>
    </chartFormat>
    <chartFormat chart="8" format="22">
      <pivotArea type="data" outline="0" fieldPosition="0">
        <references count="2">
          <reference field="4294967294" count="1" selected="0">
            <x v="0"/>
          </reference>
          <reference field="3" count="1" selected="0">
            <x v="1"/>
          </reference>
        </references>
      </pivotArea>
    </chartFormat>
    <chartFormat chart="8" format="23">
      <pivotArea type="data" outline="0" fieldPosition="0">
        <references count="2">
          <reference field="4294967294" count="1" selected="0">
            <x v="0"/>
          </reference>
          <reference field="3" count="1" selected="0">
            <x v="2"/>
          </reference>
        </references>
      </pivotArea>
    </chartFormat>
    <chartFormat chart="8" format="2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29612F-6AEE-4DB2-B7B1-C0C2DD70242E}" autoFormatId="16" applyNumberFormats="0" applyBorderFormats="0" applyFontFormats="0" applyPatternFormats="0" applyAlignmentFormats="0" applyWidthHeightFormats="0">
  <queryTableRefresh nextId="21">
    <queryTableFields count="20">
      <queryTableField id="1" name="Order ID" tableColumnId="2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1A679F-2901-48FE-999F-253F3F393EAF}" sourceName="Region">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s>
  <data>
    <tabular pivotCacheId="963172702">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24ADCE4-3C07-462B-9F81-78BABFFFB356}" sourceName="Segment">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s>
  <data>
    <tabular pivotCacheId="96317270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F69046-7A77-4E97-98E1-DECED9732410}" cache="Slicer_Region" caption="Region" columnCount="4" showCaption="0" style="SlicerStyleLight5" rowHeight="232695"/>
  <slicer name="Segment" xr10:uid="{0543EBC7-4BAA-40D8-80B8-EB0AA9D8D4B0}" cache="Slicer_Segment" caption="Segment" columnCount="3" showCaption="0" style="SlicerStyleLight5" rowHeight="23269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69B277-5780-44ED-86A4-DB5836FD0B9A}" name="Furniture_Sales" displayName="Furniture_Sales" ref="A1:T2122" tableType="queryTable" totalsRowShown="0">
  <autoFilter ref="A1:T2122" xr:uid="{6069B277-5780-44ED-86A4-DB5836FD0B9A}"/>
  <tableColumns count="20">
    <tableColumn id="21" xr3:uid="{903E15D7-B87F-4168-8AA0-FAFC2A22A0E3}" uniqueName="21" name="Order ID" queryTableFieldId="1" dataDxfId="24"/>
    <tableColumn id="2" xr3:uid="{525A1175-9B0B-42B5-8FAF-7480B4F4E966}" uniqueName="2" name="Order Date" queryTableFieldId="2" dataDxfId="23"/>
    <tableColumn id="3" xr3:uid="{E9B9FD43-4AA3-4B25-932A-E390C8962541}" uniqueName="3" name="Ship Date" queryTableFieldId="3" dataDxfId="22"/>
    <tableColumn id="4" xr3:uid="{F4075853-FEC9-48D2-AC46-6198D4DC53CB}" uniqueName="4" name="Ship Mode" queryTableFieldId="4" dataDxfId="21"/>
    <tableColumn id="5" xr3:uid="{D636BEF1-D8CA-4EFD-B2DF-8166F75EAF45}" uniqueName="5" name="Customer ID" queryTableFieldId="5" dataDxfId="20"/>
    <tableColumn id="6" xr3:uid="{6247B29A-F04C-49DF-AD6C-5E8973550D32}" uniqueName="6" name="Customer Name" queryTableFieldId="6" dataDxfId="19"/>
    <tableColumn id="7" xr3:uid="{9E1E8B72-38C5-4A68-8732-5659216C67E3}" uniqueName="7" name="Segment" queryTableFieldId="7" dataDxfId="18"/>
    <tableColumn id="8" xr3:uid="{4B6D27EF-714A-454B-A167-BDFC382DD527}" uniqueName="8" name="Country" queryTableFieldId="8" dataDxfId="17"/>
    <tableColumn id="9" xr3:uid="{3755D441-23BE-4B75-9B43-162E7216204C}" uniqueName="9" name="City" queryTableFieldId="9" dataDxfId="16"/>
    <tableColumn id="10" xr3:uid="{41E78F02-2F68-42A2-843B-0EABE1948DB3}" uniqueName="10" name="State" queryTableFieldId="10" dataDxfId="15"/>
    <tableColumn id="11" xr3:uid="{28E13EB0-15B5-4F84-B5FF-B190A88F5D29}" uniqueName="11" name="Region" queryTableFieldId="11" dataDxfId="14"/>
    <tableColumn id="12" xr3:uid="{941FBDC3-51F9-481A-B294-5D1DA8DC1E5A}" uniqueName="12" name="Product ID" queryTableFieldId="12" dataDxfId="13"/>
    <tableColumn id="13" xr3:uid="{7D1166C8-069A-4000-BD47-8D9FBD95680A}" uniqueName="13" name="Category" queryTableFieldId="13" dataDxfId="12"/>
    <tableColumn id="14" xr3:uid="{564BC108-4E92-483A-B3BB-364BC7C2DF10}" uniqueName="14" name="Sub-Category" queryTableFieldId="14" dataDxfId="11"/>
    <tableColumn id="15" xr3:uid="{3F99F914-A931-4248-A6F9-ECAA56DAC283}" uniqueName="15" name="Product Name" queryTableFieldId="15" dataDxfId="10"/>
    <tableColumn id="16" xr3:uid="{E161B11F-7276-470F-8842-B268A4C9B4CC}" uniqueName="16" name="Sales" queryTableFieldId="16"/>
    <tableColumn id="17" xr3:uid="{335E12F0-1721-4987-BCEB-5703968C9B6A}" uniqueName="17" name="Quantity" queryTableFieldId="17"/>
    <tableColumn id="18" xr3:uid="{5A84BDEA-C5A5-4F46-A227-099127EF4F8F}" uniqueName="18" name="Profit" queryTableFieldId="18"/>
    <tableColumn id="19" xr3:uid="{F8E77F40-4ABA-4CDF-8F67-6AFFA33065CC}" uniqueName="19" name="Duration" queryTableFieldId="19" dataDxfId="9"/>
    <tableColumn id="20" xr3:uid="{86A560E0-6E6B-4FCA-9674-BA4CD0E5E7E9}" uniqueName="20" name="Month" queryTableFieldId="20" dataDxfId="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655FC-3FF0-441F-B201-D3EE32F6499E}">
  <dimension ref="A1:T2122"/>
  <sheetViews>
    <sheetView topLeftCell="A2" workbookViewId="0">
      <selection sqref="A1:T2122"/>
    </sheetView>
  </sheetViews>
  <sheetFormatPr defaultRowHeight="14.15" x14ac:dyDescent="0.25"/>
  <cols>
    <col min="1" max="1" width="14.5" bestFit="1" customWidth="1"/>
    <col min="2" max="2" width="12.625" bestFit="1" customWidth="1"/>
    <col min="3" max="3" width="11.375" bestFit="1" customWidth="1"/>
    <col min="4" max="4" width="13" bestFit="1" customWidth="1"/>
    <col min="5" max="5" width="13.5" bestFit="1" customWidth="1"/>
    <col min="6" max="6" width="20.625" bestFit="1" customWidth="1"/>
    <col min="7" max="7" width="11.125" bestFit="1" customWidth="1"/>
    <col min="8" max="8" width="11.75" bestFit="1" customWidth="1"/>
    <col min="9" max="9" width="15.25" bestFit="1" customWidth="1"/>
    <col min="10" max="10" width="17.25" bestFit="1" customWidth="1"/>
    <col min="12" max="12" width="16" bestFit="1" customWidth="1"/>
    <col min="13" max="13" width="10.75" bestFit="1" customWidth="1"/>
    <col min="14" max="14" width="14.625" bestFit="1" customWidth="1"/>
    <col min="15" max="15" width="78" bestFit="1" customWidth="1"/>
    <col min="16" max="16" width="9.875" bestFit="1" customWidth="1"/>
    <col min="17" max="17" width="10.75" bestFit="1" customWidth="1"/>
    <col min="18" max="18" width="10.5" bestFit="1" customWidth="1"/>
    <col min="19" max="19" width="10.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t="s">
        <v>33</v>
      </c>
      <c r="T2" t="s">
        <v>34</v>
      </c>
    </row>
    <row r="3" spans="1:20" x14ac:dyDescent="0.25">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t="s">
        <v>33</v>
      </c>
      <c r="T3" t="s">
        <v>34</v>
      </c>
    </row>
    <row r="4" spans="1:20" x14ac:dyDescent="0.25">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t="s">
        <v>47</v>
      </c>
      <c r="T4" t="s">
        <v>48</v>
      </c>
    </row>
    <row r="5" spans="1:20" x14ac:dyDescent="0.25">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t="s">
        <v>58</v>
      </c>
      <c r="T5" t="s">
        <v>59</v>
      </c>
    </row>
    <row r="6" spans="1:20" x14ac:dyDescent="0.25">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t="s">
        <v>58</v>
      </c>
      <c r="T6" t="s">
        <v>59</v>
      </c>
    </row>
    <row r="7" spans="1:20" x14ac:dyDescent="0.25">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t="s">
        <v>70</v>
      </c>
      <c r="T7" t="s">
        <v>71</v>
      </c>
    </row>
    <row r="8" spans="1:20" x14ac:dyDescent="0.25">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t="s">
        <v>58</v>
      </c>
      <c r="T8" t="s">
        <v>77</v>
      </c>
    </row>
    <row r="9" spans="1:20" x14ac:dyDescent="0.25">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t="s">
        <v>83</v>
      </c>
      <c r="T9" t="s">
        <v>77</v>
      </c>
    </row>
    <row r="10" spans="1:20" x14ac:dyDescent="0.25">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t="s">
        <v>83</v>
      </c>
      <c r="T10" t="s">
        <v>77</v>
      </c>
    </row>
    <row r="11" spans="1:20" x14ac:dyDescent="0.25">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t="s">
        <v>70</v>
      </c>
      <c r="T11" t="s">
        <v>96</v>
      </c>
    </row>
    <row r="12" spans="1:20" x14ac:dyDescent="0.25">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t="s">
        <v>83</v>
      </c>
      <c r="T12" t="s">
        <v>96</v>
      </c>
    </row>
    <row r="13" spans="1:20" x14ac:dyDescent="0.25">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t="s">
        <v>83</v>
      </c>
      <c r="T13" t="s">
        <v>96</v>
      </c>
    </row>
    <row r="14" spans="1:20" x14ac:dyDescent="0.25">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t="s">
        <v>83</v>
      </c>
      <c r="T14" t="s">
        <v>113</v>
      </c>
    </row>
    <row r="15" spans="1:20" x14ac:dyDescent="0.25">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t="s">
        <v>83</v>
      </c>
      <c r="T15" t="s">
        <v>113</v>
      </c>
    </row>
    <row r="16" spans="1:20" x14ac:dyDescent="0.25">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t="s">
        <v>123</v>
      </c>
      <c r="T16" t="s">
        <v>59</v>
      </c>
    </row>
    <row r="17" spans="1:20" x14ac:dyDescent="0.25">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t="s">
        <v>129</v>
      </c>
      <c r="T17" t="s">
        <v>34</v>
      </c>
    </row>
    <row r="18" spans="1:20" x14ac:dyDescent="0.25">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t="s">
        <v>58</v>
      </c>
      <c r="T18" t="s">
        <v>113</v>
      </c>
    </row>
    <row r="19" spans="1:20" x14ac:dyDescent="0.25">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t="s">
        <v>129</v>
      </c>
      <c r="T19" t="s">
        <v>113</v>
      </c>
    </row>
    <row r="20" spans="1:20" x14ac:dyDescent="0.25">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t="s">
        <v>129</v>
      </c>
      <c r="T20" t="s">
        <v>113</v>
      </c>
    </row>
    <row r="21" spans="1:20" x14ac:dyDescent="0.25">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t="s">
        <v>70</v>
      </c>
      <c r="T21" t="s">
        <v>96</v>
      </c>
    </row>
    <row r="22" spans="1:20" x14ac:dyDescent="0.25">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t="s">
        <v>58</v>
      </c>
      <c r="T22" t="s">
        <v>34</v>
      </c>
    </row>
    <row r="23" spans="1:20" x14ac:dyDescent="0.25">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t="s">
        <v>70</v>
      </c>
      <c r="T23" t="s">
        <v>161</v>
      </c>
    </row>
    <row r="24" spans="1:20" x14ac:dyDescent="0.25">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t="s">
        <v>58</v>
      </c>
      <c r="T24" t="s">
        <v>169</v>
      </c>
    </row>
    <row r="25" spans="1:20" x14ac:dyDescent="0.25">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t="s">
        <v>70</v>
      </c>
      <c r="T25" t="s">
        <v>34</v>
      </c>
    </row>
    <row r="26" spans="1:20" x14ac:dyDescent="0.25">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t="s">
        <v>83</v>
      </c>
      <c r="T26" t="s">
        <v>34</v>
      </c>
    </row>
    <row r="27" spans="1:20" x14ac:dyDescent="0.25">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t="s">
        <v>58</v>
      </c>
      <c r="T27" t="s">
        <v>96</v>
      </c>
    </row>
    <row r="28" spans="1:20" x14ac:dyDescent="0.25">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t="s">
        <v>83</v>
      </c>
      <c r="T28" t="s">
        <v>195</v>
      </c>
    </row>
    <row r="29" spans="1:20" x14ac:dyDescent="0.25">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t="s">
        <v>33</v>
      </c>
      <c r="T29" t="s">
        <v>59</v>
      </c>
    </row>
    <row r="30" spans="1:20" x14ac:dyDescent="0.25">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t="s">
        <v>70</v>
      </c>
      <c r="T30" t="s">
        <v>96</v>
      </c>
    </row>
    <row r="31" spans="1:20" x14ac:dyDescent="0.25">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t="s">
        <v>58</v>
      </c>
      <c r="T31" t="s">
        <v>77</v>
      </c>
    </row>
    <row r="32" spans="1:20" x14ac:dyDescent="0.25">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t="s">
        <v>83</v>
      </c>
      <c r="T32" t="s">
        <v>34</v>
      </c>
    </row>
    <row r="33" spans="1:20" x14ac:dyDescent="0.25">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t="s">
        <v>83</v>
      </c>
      <c r="T33" t="s">
        <v>34</v>
      </c>
    </row>
    <row r="34" spans="1:20" x14ac:dyDescent="0.25">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t="s">
        <v>129</v>
      </c>
      <c r="T34" t="s">
        <v>48</v>
      </c>
    </row>
    <row r="35" spans="1:20" x14ac:dyDescent="0.25">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t="s">
        <v>70</v>
      </c>
      <c r="T35" t="s">
        <v>77</v>
      </c>
    </row>
    <row r="36" spans="1:20" x14ac:dyDescent="0.25">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t="s">
        <v>129</v>
      </c>
      <c r="T36" t="s">
        <v>48</v>
      </c>
    </row>
    <row r="37" spans="1:20" x14ac:dyDescent="0.25">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t="s">
        <v>83</v>
      </c>
      <c r="T37" t="s">
        <v>96</v>
      </c>
    </row>
    <row r="38" spans="1:20" x14ac:dyDescent="0.25">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t="s">
        <v>58</v>
      </c>
      <c r="T38" t="s">
        <v>195</v>
      </c>
    </row>
    <row r="39" spans="1:20" x14ac:dyDescent="0.25">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t="s">
        <v>83</v>
      </c>
      <c r="T39" t="s">
        <v>77</v>
      </c>
    </row>
    <row r="40" spans="1:20" x14ac:dyDescent="0.25">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t="s">
        <v>83</v>
      </c>
      <c r="T40" t="s">
        <v>253</v>
      </c>
    </row>
    <row r="41" spans="1:20" x14ac:dyDescent="0.25">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t="s">
        <v>70</v>
      </c>
      <c r="T41" t="s">
        <v>34</v>
      </c>
    </row>
    <row r="42" spans="1:20" x14ac:dyDescent="0.25">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t="s">
        <v>70</v>
      </c>
      <c r="T42" t="s">
        <v>48</v>
      </c>
    </row>
    <row r="43" spans="1:20" x14ac:dyDescent="0.25">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t="s">
        <v>70</v>
      </c>
      <c r="T43" t="s">
        <v>48</v>
      </c>
    </row>
    <row r="44" spans="1:20" x14ac:dyDescent="0.25">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t="s">
        <v>70</v>
      </c>
      <c r="T44" t="s">
        <v>253</v>
      </c>
    </row>
    <row r="45" spans="1:20" x14ac:dyDescent="0.25">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t="s">
        <v>83</v>
      </c>
      <c r="T45" t="s">
        <v>59</v>
      </c>
    </row>
    <row r="46" spans="1:20" x14ac:dyDescent="0.25">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t="s">
        <v>47</v>
      </c>
      <c r="T46" t="s">
        <v>169</v>
      </c>
    </row>
    <row r="47" spans="1:20" x14ac:dyDescent="0.25">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t="s">
        <v>33</v>
      </c>
      <c r="T47" t="s">
        <v>96</v>
      </c>
    </row>
    <row r="48" spans="1:20" x14ac:dyDescent="0.25">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t="s">
        <v>47</v>
      </c>
      <c r="T48" t="s">
        <v>253</v>
      </c>
    </row>
    <row r="49" spans="1:20" x14ac:dyDescent="0.25">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t="s">
        <v>83</v>
      </c>
      <c r="T49" t="s">
        <v>297</v>
      </c>
    </row>
    <row r="50" spans="1:20" x14ac:dyDescent="0.25">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t="s">
        <v>83</v>
      </c>
      <c r="T50" t="s">
        <v>297</v>
      </c>
    </row>
    <row r="51" spans="1:20" x14ac:dyDescent="0.25">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t="s">
        <v>58</v>
      </c>
      <c r="T51" t="s">
        <v>113</v>
      </c>
    </row>
    <row r="52" spans="1:20" x14ac:dyDescent="0.25">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t="s">
        <v>58</v>
      </c>
      <c r="T52" t="s">
        <v>113</v>
      </c>
    </row>
    <row r="53" spans="1:20" x14ac:dyDescent="0.25">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t="s">
        <v>58</v>
      </c>
      <c r="T53" t="s">
        <v>113</v>
      </c>
    </row>
    <row r="54" spans="1:20" x14ac:dyDescent="0.25">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t="s">
        <v>58</v>
      </c>
      <c r="T54" t="s">
        <v>59</v>
      </c>
    </row>
    <row r="55" spans="1:20" x14ac:dyDescent="0.25">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t="s">
        <v>58</v>
      </c>
      <c r="T55" t="s">
        <v>59</v>
      </c>
    </row>
    <row r="56" spans="1:20" x14ac:dyDescent="0.25">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t="s">
        <v>58</v>
      </c>
      <c r="T56" t="s">
        <v>59</v>
      </c>
    </row>
    <row r="57" spans="1:20" x14ac:dyDescent="0.25">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t="s">
        <v>58</v>
      </c>
      <c r="T57" t="s">
        <v>59</v>
      </c>
    </row>
    <row r="58" spans="1:20" x14ac:dyDescent="0.25">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t="s">
        <v>58</v>
      </c>
      <c r="T58" t="s">
        <v>59</v>
      </c>
    </row>
    <row r="59" spans="1:20" x14ac:dyDescent="0.25">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t="s">
        <v>58</v>
      </c>
      <c r="T59" t="s">
        <v>96</v>
      </c>
    </row>
    <row r="60" spans="1:20" x14ac:dyDescent="0.25">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t="s">
        <v>129</v>
      </c>
      <c r="T60" t="s">
        <v>34</v>
      </c>
    </row>
    <row r="61" spans="1:20" x14ac:dyDescent="0.25">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t="s">
        <v>123</v>
      </c>
      <c r="T61" t="s">
        <v>71</v>
      </c>
    </row>
    <row r="62" spans="1:20" x14ac:dyDescent="0.25">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t="s">
        <v>83</v>
      </c>
      <c r="T62" t="s">
        <v>34</v>
      </c>
    </row>
    <row r="63" spans="1:20" x14ac:dyDescent="0.25">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t="s">
        <v>83</v>
      </c>
      <c r="T63" t="s">
        <v>34</v>
      </c>
    </row>
    <row r="64" spans="1:20" x14ac:dyDescent="0.25">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t="s">
        <v>70</v>
      </c>
      <c r="T64" t="s">
        <v>96</v>
      </c>
    </row>
    <row r="65" spans="1:20" x14ac:dyDescent="0.25">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t="s">
        <v>70</v>
      </c>
      <c r="T65" t="s">
        <v>96</v>
      </c>
    </row>
    <row r="66" spans="1:20" x14ac:dyDescent="0.25">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t="s">
        <v>70</v>
      </c>
      <c r="T66" t="s">
        <v>96</v>
      </c>
    </row>
    <row r="67" spans="1:20" x14ac:dyDescent="0.25">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t="s">
        <v>129</v>
      </c>
      <c r="T67" t="s">
        <v>48</v>
      </c>
    </row>
    <row r="68" spans="1:20" x14ac:dyDescent="0.25">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t="s">
        <v>83</v>
      </c>
      <c r="T68" t="s">
        <v>34</v>
      </c>
    </row>
    <row r="69" spans="1:20" x14ac:dyDescent="0.25">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t="s">
        <v>58</v>
      </c>
      <c r="T69" t="s">
        <v>161</v>
      </c>
    </row>
    <row r="70" spans="1:20" x14ac:dyDescent="0.25">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t="s">
        <v>70</v>
      </c>
      <c r="T70" t="s">
        <v>77</v>
      </c>
    </row>
    <row r="71" spans="1:20" x14ac:dyDescent="0.25">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t="s">
        <v>70</v>
      </c>
      <c r="T71" t="s">
        <v>77</v>
      </c>
    </row>
    <row r="72" spans="1:20" x14ac:dyDescent="0.25">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t="s">
        <v>70</v>
      </c>
      <c r="T72" t="s">
        <v>77</v>
      </c>
    </row>
    <row r="73" spans="1:20" x14ac:dyDescent="0.25">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t="s">
        <v>129</v>
      </c>
      <c r="T73" t="s">
        <v>77</v>
      </c>
    </row>
    <row r="74" spans="1:20" x14ac:dyDescent="0.25">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t="s">
        <v>58</v>
      </c>
      <c r="T74" t="s">
        <v>34</v>
      </c>
    </row>
    <row r="75" spans="1:20" x14ac:dyDescent="0.25">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t="s">
        <v>70</v>
      </c>
      <c r="T75" t="s">
        <v>34</v>
      </c>
    </row>
    <row r="76" spans="1:20" x14ac:dyDescent="0.25">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t="s">
        <v>70</v>
      </c>
      <c r="T76" t="s">
        <v>253</v>
      </c>
    </row>
    <row r="77" spans="1:20" x14ac:dyDescent="0.25">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t="s">
        <v>58</v>
      </c>
      <c r="T77" t="s">
        <v>71</v>
      </c>
    </row>
    <row r="78" spans="1:20" x14ac:dyDescent="0.25">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t="s">
        <v>58</v>
      </c>
      <c r="T78" t="s">
        <v>113</v>
      </c>
    </row>
    <row r="79" spans="1:20" x14ac:dyDescent="0.25">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t="s">
        <v>129</v>
      </c>
      <c r="T79" t="s">
        <v>77</v>
      </c>
    </row>
    <row r="80" spans="1:20" x14ac:dyDescent="0.25">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t="s">
        <v>129</v>
      </c>
      <c r="T80" t="s">
        <v>77</v>
      </c>
    </row>
    <row r="81" spans="1:20" x14ac:dyDescent="0.25">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t="s">
        <v>430</v>
      </c>
      <c r="T81" t="s">
        <v>48</v>
      </c>
    </row>
    <row r="82" spans="1:20" x14ac:dyDescent="0.25">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t="s">
        <v>58</v>
      </c>
      <c r="T82" t="s">
        <v>253</v>
      </c>
    </row>
    <row r="83" spans="1:20" x14ac:dyDescent="0.25">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t="s">
        <v>58</v>
      </c>
      <c r="T83" t="s">
        <v>34</v>
      </c>
    </row>
    <row r="84" spans="1:20" x14ac:dyDescent="0.25">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t="s">
        <v>83</v>
      </c>
      <c r="T84" t="s">
        <v>96</v>
      </c>
    </row>
    <row r="85" spans="1:20" x14ac:dyDescent="0.25">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t="s">
        <v>70</v>
      </c>
      <c r="T85" t="s">
        <v>77</v>
      </c>
    </row>
    <row r="86" spans="1:20" x14ac:dyDescent="0.25">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t="s">
        <v>83</v>
      </c>
      <c r="T86" t="s">
        <v>96</v>
      </c>
    </row>
    <row r="87" spans="1:20" x14ac:dyDescent="0.25">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t="s">
        <v>83</v>
      </c>
      <c r="T87" t="s">
        <v>96</v>
      </c>
    </row>
    <row r="88" spans="1:20" x14ac:dyDescent="0.25">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t="s">
        <v>83</v>
      </c>
      <c r="T88" t="s">
        <v>96</v>
      </c>
    </row>
    <row r="89" spans="1:20" x14ac:dyDescent="0.25">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t="s">
        <v>83</v>
      </c>
      <c r="T89" t="s">
        <v>34</v>
      </c>
    </row>
    <row r="90" spans="1:20" x14ac:dyDescent="0.25">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t="s">
        <v>83</v>
      </c>
      <c r="T90" t="s">
        <v>113</v>
      </c>
    </row>
    <row r="91" spans="1:20" x14ac:dyDescent="0.25">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t="s">
        <v>83</v>
      </c>
      <c r="T91" t="s">
        <v>48</v>
      </c>
    </row>
    <row r="92" spans="1:20" x14ac:dyDescent="0.25">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t="s">
        <v>70</v>
      </c>
      <c r="T92" t="s">
        <v>253</v>
      </c>
    </row>
    <row r="93" spans="1:20" x14ac:dyDescent="0.25">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t="s">
        <v>33</v>
      </c>
      <c r="T93" t="s">
        <v>34</v>
      </c>
    </row>
    <row r="94" spans="1:20" x14ac:dyDescent="0.25">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t="s">
        <v>33</v>
      </c>
      <c r="T94" t="s">
        <v>169</v>
      </c>
    </row>
    <row r="95" spans="1:20" x14ac:dyDescent="0.25">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t="s">
        <v>70</v>
      </c>
      <c r="T95" t="s">
        <v>77</v>
      </c>
    </row>
    <row r="96" spans="1:20" x14ac:dyDescent="0.25">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t="s">
        <v>70</v>
      </c>
      <c r="T96" t="s">
        <v>77</v>
      </c>
    </row>
    <row r="97" spans="1:20" x14ac:dyDescent="0.25">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t="s">
        <v>58</v>
      </c>
      <c r="T97" t="s">
        <v>195</v>
      </c>
    </row>
    <row r="98" spans="1:20" x14ac:dyDescent="0.25">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t="s">
        <v>83</v>
      </c>
      <c r="T98" t="s">
        <v>48</v>
      </c>
    </row>
    <row r="99" spans="1:20" x14ac:dyDescent="0.25">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t="s">
        <v>129</v>
      </c>
      <c r="T99" t="s">
        <v>297</v>
      </c>
    </row>
    <row r="100" spans="1:20" x14ac:dyDescent="0.25">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t="s">
        <v>58</v>
      </c>
      <c r="T100" t="s">
        <v>77</v>
      </c>
    </row>
    <row r="101" spans="1:20" x14ac:dyDescent="0.25">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t="s">
        <v>47</v>
      </c>
      <c r="T101" t="s">
        <v>113</v>
      </c>
    </row>
    <row r="102" spans="1:20" x14ac:dyDescent="0.25">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t="s">
        <v>47</v>
      </c>
      <c r="T102" t="s">
        <v>113</v>
      </c>
    </row>
    <row r="103" spans="1:20" x14ac:dyDescent="0.25">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t="s">
        <v>47</v>
      </c>
      <c r="T103" t="s">
        <v>169</v>
      </c>
    </row>
    <row r="104" spans="1:20" x14ac:dyDescent="0.25">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t="s">
        <v>83</v>
      </c>
      <c r="T104" t="s">
        <v>195</v>
      </c>
    </row>
    <row r="105" spans="1:20" x14ac:dyDescent="0.25">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t="s">
        <v>70</v>
      </c>
      <c r="T105" t="s">
        <v>34</v>
      </c>
    </row>
    <row r="106" spans="1:20" x14ac:dyDescent="0.25">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t="s">
        <v>129</v>
      </c>
      <c r="T106" t="s">
        <v>48</v>
      </c>
    </row>
    <row r="107" spans="1:20" x14ac:dyDescent="0.25">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t="s">
        <v>33</v>
      </c>
      <c r="T107" t="s">
        <v>59</v>
      </c>
    </row>
    <row r="108" spans="1:20" x14ac:dyDescent="0.25">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t="s">
        <v>33</v>
      </c>
      <c r="T108" t="s">
        <v>195</v>
      </c>
    </row>
    <row r="109" spans="1:20" x14ac:dyDescent="0.25">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t="s">
        <v>129</v>
      </c>
      <c r="T109" t="s">
        <v>71</v>
      </c>
    </row>
    <row r="110" spans="1:20" x14ac:dyDescent="0.25">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t="s">
        <v>129</v>
      </c>
      <c r="T110" t="s">
        <v>71</v>
      </c>
    </row>
    <row r="111" spans="1:20" x14ac:dyDescent="0.25">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t="s">
        <v>129</v>
      </c>
      <c r="T111" t="s">
        <v>71</v>
      </c>
    </row>
    <row r="112" spans="1:20" x14ac:dyDescent="0.25">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t="s">
        <v>58</v>
      </c>
      <c r="T112" t="s">
        <v>161</v>
      </c>
    </row>
    <row r="113" spans="1:20" x14ac:dyDescent="0.25">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t="s">
        <v>123</v>
      </c>
      <c r="T113" t="s">
        <v>34</v>
      </c>
    </row>
    <row r="114" spans="1:20" x14ac:dyDescent="0.25">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t="s">
        <v>70</v>
      </c>
      <c r="T114" t="s">
        <v>169</v>
      </c>
    </row>
    <row r="115" spans="1:20" x14ac:dyDescent="0.25">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t="s">
        <v>58</v>
      </c>
      <c r="T115" t="s">
        <v>48</v>
      </c>
    </row>
    <row r="116" spans="1:20" x14ac:dyDescent="0.25">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t="s">
        <v>58</v>
      </c>
      <c r="T116" t="s">
        <v>48</v>
      </c>
    </row>
    <row r="117" spans="1:20" x14ac:dyDescent="0.25">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t="s">
        <v>70</v>
      </c>
      <c r="T117" t="s">
        <v>34</v>
      </c>
    </row>
    <row r="118" spans="1:20" x14ac:dyDescent="0.25">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t="s">
        <v>83</v>
      </c>
      <c r="T118" t="s">
        <v>77</v>
      </c>
    </row>
    <row r="119" spans="1:20" x14ac:dyDescent="0.25">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t="s">
        <v>83</v>
      </c>
      <c r="T119" t="s">
        <v>96</v>
      </c>
    </row>
    <row r="120" spans="1:20" x14ac:dyDescent="0.25">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t="s">
        <v>58</v>
      </c>
      <c r="T120" t="s">
        <v>161</v>
      </c>
    </row>
    <row r="121" spans="1:20" x14ac:dyDescent="0.25">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t="s">
        <v>70</v>
      </c>
      <c r="T121" t="s">
        <v>113</v>
      </c>
    </row>
    <row r="122" spans="1:20" x14ac:dyDescent="0.25">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t="s">
        <v>123</v>
      </c>
      <c r="T122" t="s">
        <v>77</v>
      </c>
    </row>
    <row r="123" spans="1:20" x14ac:dyDescent="0.25">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t="s">
        <v>58</v>
      </c>
      <c r="T123" t="s">
        <v>59</v>
      </c>
    </row>
    <row r="124" spans="1:20" x14ac:dyDescent="0.25">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t="s">
        <v>70</v>
      </c>
      <c r="T124" t="s">
        <v>34</v>
      </c>
    </row>
    <row r="125" spans="1:20" x14ac:dyDescent="0.25">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t="s">
        <v>83</v>
      </c>
      <c r="T125" t="s">
        <v>77</v>
      </c>
    </row>
    <row r="126" spans="1:20" x14ac:dyDescent="0.25">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t="s">
        <v>47</v>
      </c>
      <c r="T126" t="s">
        <v>48</v>
      </c>
    </row>
    <row r="127" spans="1:20" x14ac:dyDescent="0.25">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t="s">
        <v>129</v>
      </c>
      <c r="T127" t="s">
        <v>71</v>
      </c>
    </row>
    <row r="128" spans="1:20" x14ac:dyDescent="0.25">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t="s">
        <v>129</v>
      </c>
      <c r="T128" t="s">
        <v>71</v>
      </c>
    </row>
    <row r="129" spans="1:20" x14ac:dyDescent="0.25">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t="s">
        <v>47</v>
      </c>
      <c r="T129" t="s">
        <v>253</v>
      </c>
    </row>
    <row r="130" spans="1:20" x14ac:dyDescent="0.25">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t="s">
        <v>83</v>
      </c>
      <c r="T130" t="s">
        <v>195</v>
      </c>
    </row>
    <row r="131" spans="1:20" x14ac:dyDescent="0.25">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t="s">
        <v>58</v>
      </c>
      <c r="T131" t="s">
        <v>253</v>
      </c>
    </row>
    <row r="132" spans="1:20" x14ac:dyDescent="0.25">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t="s">
        <v>58</v>
      </c>
      <c r="T132" t="s">
        <v>253</v>
      </c>
    </row>
    <row r="133" spans="1:20" x14ac:dyDescent="0.25">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t="s">
        <v>58</v>
      </c>
      <c r="T133" t="s">
        <v>253</v>
      </c>
    </row>
    <row r="134" spans="1:20" x14ac:dyDescent="0.25">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t="s">
        <v>83</v>
      </c>
      <c r="T134" t="s">
        <v>34</v>
      </c>
    </row>
    <row r="135" spans="1:20" x14ac:dyDescent="0.25">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t="s">
        <v>83</v>
      </c>
      <c r="T135" t="s">
        <v>77</v>
      </c>
    </row>
    <row r="136" spans="1:20" x14ac:dyDescent="0.25">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t="s">
        <v>58</v>
      </c>
      <c r="T136" t="s">
        <v>48</v>
      </c>
    </row>
    <row r="137" spans="1:20" x14ac:dyDescent="0.25">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t="s">
        <v>58</v>
      </c>
      <c r="T137" t="s">
        <v>161</v>
      </c>
    </row>
    <row r="138" spans="1:20" x14ac:dyDescent="0.25">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t="s">
        <v>83</v>
      </c>
      <c r="T138" t="s">
        <v>96</v>
      </c>
    </row>
    <row r="139" spans="1:20" x14ac:dyDescent="0.25">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t="s">
        <v>58</v>
      </c>
      <c r="T139" t="s">
        <v>96</v>
      </c>
    </row>
    <row r="140" spans="1:20" x14ac:dyDescent="0.25">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t="s">
        <v>430</v>
      </c>
      <c r="T140" t="s">
        <v>77</v>
      </c>
    </row>
    <row r="141" spans="1:20" x14ac:dyDescent="0.25">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t="s">
        <v>83</v>
      </c>
      <c r="T141" t="s">
        <v>253</v>
      </c>
    </row>
    <row r="142" spans="1:20" x14ac:dyDescent="0.25">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t="s">
        <v>70</v>
      </c>
      <c r="T142" t="s">
        <v>96</v>
      </c>
    </row>
    <row r="143" spans="1:20" x14ac:dyDescent="0.25">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t="s">
        <v>83</v>
      </c>
      <c r="T143" t="s">
        <v>59</v>
      </c>
    </row>
    <row r="144" spans="1:20" x14ac:dyDescent="0.25">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t="s">
        <v>83</v>
      </c>
      <c r="T144" t="s">
        <v>59</v>
      </c>
    </row>
    <row r="145" spans="1:20" x14ac:dyDescent="0.25">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t="s">
        <v>58</v>
      </c>
      <c r="T145" t="s">
        <v>195</v>
      </c>
    </row>
    <row r="146" spans="1:20" x14ac:dyDescent="0.25">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t="s">
        <v>83</v>
      </c>
      <c r="T146" t="s">
        <v>96</v>
      </c>
    </row>
    <row r="147" spans="1:20" x14ac:dyDescent="0.25">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t="s">
        <v>70</v>
      </c>
      <c r="T147" t="s">
        <v>59</v>
      </c>
    </row>
    <row r="148" spans="1:20" x14ac:dyDescent="0.25">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t="s">
        <v>129</v>
      </c>
      <c r="T148" t="s">
        <v>77</v>
      </c>
    </row>
    <row r="149" spans="1:20" x14ac:dyDescent="0.25">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t="s">
        <v>83</v>
      </c>
      <c r="T149" t="s">
        <v>34</v>
      </c>
    </row>
    <row r="150" spans="1:20" x14ac:dyDescent="0.25">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t="s">
        <v>58</v>
      </c>
      <c r="T150" t="s">
        <v>113</v>
      </c>
    </row>
    <row r="151" spans="1:20" x14ac:dyDescent="0.25">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t="s">
        <v>70</v>
      </c>
      <c r="T151" t="s">
        <v>96</v>
      </c>
    </row>
    <row r="152" spans="1:20" x14ac:dyDescent="0.25">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t="s">
        <v>33</v>
      </c>
      <c r="T152" t="s">
        <v>169</v>
      </c>
    </row>
    <row r="153" spans="1:20" x14ac:dyDescent="0.25">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t="s">
        <v>58</v>
      </c>
      <c r="T153" t="s">
        <v>77</v>
      </c>
    </row>
    <row r="154" spans="1:20" x14ac:dyDescent="0.25">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t="s">
        <v>58</v>
      </c>
      <c r="T154" t="s">
        <v>59</v>
      </c>
    </row>
    <row r="155" spans="1:20" x14ac:dyDescent="0.25">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t="s">
        <v>83</v>
      </c>
      <c r="T155" t="s">
        <v>96</v>
      </c>
    </row>
    <row r="156" spans="1:20" x14ac:dyDescent="0.25">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t="s">
        <v>129</v>
      </c>
      <c r="T156" t="s">
        <v>48</v>
      </c>
    </row>
    <row r="157" spans="1:20" x14ac:dyDescent="0.25">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t="s">
        <v>33</v>
      </c>
      <c r="T157" t="s">
        <v>96</v>
      </c>
    </row>
    <row r="158" spans="1:20" x14ac:dyDescent="0.25">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t="s">
        <v>33</v>
      </c>
      <c r="T158" t="s">
        <v>96</v>
      </c>
    </row>
    <row r="159" spans="1:20" x14ac:dyDescent="0.25">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t="s">
        <v>83</v>
      </c>
      <c r="T159" t="s">
        <v>169</v>
      </c>
    </row>
    <row r="160" spans="1:20" x14ac:dyDescent="0.25">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t="s">
        <v>430</v>
      </c>
      <c r="T160" t="s">
        <v>161</v>
      </c>
    </row>
    <row r="161" spans="1:20" x14ac:dyDescent="0.25">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t="s">
        <v>83</v>
      </c>
      <c r="T161" t="s">
        <v>48</v>
      </c>
    </row>
    <row r="162" spans="1:20" x14ac:dyDescent="0.25">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t="s">
        <v>58</v>
      </c>
      <c r="T162" t="s">
        <v>96</v>
      </c>
    </row>
    <row r="163" spans="1:20" x14ac:dyDescent="0.25">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t="s">
        <v>83</v>
      </c>
      <c r="T163" t="s">
        <v>77</v>
      </c>
    </row>
    <row r="164" spans="1:20" x14ac:dyDescent="0.25">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t="s">
        <v>129</v>
      </c>
      <c r="T164" t="s">
        <v>161</v>
      </c>
    </row>
    <row r="165" spans="1:20" x14ac:dyDescent="0.25">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t="s">
        <v>58</v>
      </c>
      <c r="T165" t="s">
        <v>161</v>
      </c>
    </row>
    <row r="166" spans="1:20" x14ac:dyDescent="0.25">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t="s">
        <v>129</v>
      </c>
      <c r="T166" t="s">
        <v>169</v>
      </c>
    </row>
    <row r="167" spans="1:20" x14ac:dyDescent="0.25">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t="s">
        <v>70</v>
      </c>
      <c r="T167" t="s">
        <v>253</v>
      </c>
    </row>
    <row r="168" spans="1:20" x14ac:dyDescent="0.25">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t="s">
        <v>33</v>
      </c>
      <c r="T168" t="s">
        <v>48</v>
      </c>
    </row>
    <row r="169" spans="1:20" x14ac:dyDescent="0.25">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t="s">
        <v>83</v>
      </c>
      <c r="T169" t="s">
        <v>96</v>
      </c>
    </row>
    <row r="170" spans="1:20" x14ac:dyDescent="0.25">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t="s">
        <v>83</v>
      </c>
      <c r="T170" t="s">
        <v>59</v>
      </c>
    </row>
    <row r="171" spans="1:20" x14ac:dyDescent="0.25">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t="s">
        <v>129</v>
      </c>
      <c r="T171" t="s">
        <v>34</v>
      </c>
    </row>
    <row r="172" spans="1:20" x14ac:dyDescent="0.25">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t="s">
        <v>33</v>
      </c>
      <c r="T172" t="s">
        <v>297</v>
      </c>
    </row>
    <row r="173" spans="1:20" x14ac:dyDescent="0.25">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t="s">
        <v>70</v>
      </c>
      <c r="T173" t="s">
        <v>113</v>
      </c>
    </row>
    <row r="174" spans="1:20" x14ac:dyDescent="0.25">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t="s">
        <v>70</v>
      </c>
      <c r="T174" t="s">
        <v>297</v>
      </c>
    </row>
    <row r="175" spans="1:20" x14ac:dyDescent="0.25">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t="s">
        <v>70</v>
      </c>
      <c r="T175" t="s">
        <v>48</v>
      </c>
    </row>
    <row r="176" spans="1:20" x14ac:dyDescent="0.25">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t="s">
        <v>430</v>
      </c>
      <c r="T176" t="s">
        <v>161</v>
      </c>
    </row>
    <row r="177" spans="1:20" x14ac:dyDescent="0.25">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t="s">
        <v>83</v>
      </c>
      <c r="T177" t="s">
        <v>59</v>
      </c>
    </row>
    <row r="178" spans="1:20" x14ac:dyDescent="0.25">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t="s">
        <v>58</v>
      </c>
      <c r="T178" t="s">
        <v>59</v>
      </c>
    </row>
    <row r="179" spans="1:20" x14ac:dyDescent="0.25">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t="s">
        <v>58</v>
      </c>
      <c r="T179" t="s">
        <v>34</v>
      </c>
    </row>
    <row r="180" spans="1:20" x14ac:dyDescent="0.25">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t="s">
        <v>83</v>
      </c>
      <c r="T180" t="s">
        <v>48</v>
      </c>
    </row>
    <row r="181" spans="1:20" x14ac:dyDescent="0.25">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t="s">
        <v>58</v>
      </c>
      <c r="T181" t="s">
        <v>169</v>
      </c>
    </row>
    <row r="182" spans="1:20" x14ac:dyDescent="0.25">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t="s">
        <v>58</v>
      </c>
      <c r="T182" t="s">
        <v>297</v>
      </c>
    </row>
    <row r="183" spans="1:20" x14ac:dyDescent="0.25">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t="s">
        <v>58</v>
      </c>
      <c r="T183" t="s">
        <v>169</v>
      </c>
    </row>
    <row r="184" spans="1:20" x14ac:dyDescent="0.25">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t="s">
        <v>83</v>
      </c>
      <c r="T184" t="s">
        <v>169</v>
      </c>
    </row>
    <row r="185" spans="1:20" x14ac:dyDescent="0.25">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t="s">
        <v>70</v>
      </c>
      <c r="T185" t="s">
        <v>34</v>
      </c>
    </row>
    <row r="186" spans="1:20" x14ac:dyDescent="0.25">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t="s">
        <v>70</v>
      </c>
      <c r="T186" t="s">
        <v>48</v>
      </c>
    </row>
    <row r="187" spans="1:20" x14ac:dyDescent="0.25">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t="s">
        <v>58</v>
      </c>
      <c r="T187" t="s">
        <v>113</v>
      </c>
    </row>
    <row r="188" spans="1:20" x14ac:dyDescent="0.25">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t="s">
        <v>83</v>
      </c>
      <c r="T188" t="s">
        <v>96</v>
      </c>
    </row>
    <row r="189" spans="1:20" x14ac:dyDescent="0.25">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t="s">
        <v>47</v>
      </c>
      <c r="T189" t="s">
        <v>161</v>
      </c>
    </row>
    <row r="190" spans="1:20" x14ac:dyDescent="0.25">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t="s">
        <v>70</v>
      </c>
      <c r="T190" t="s">
        <v>34</v>
      </c>
    </row>
    <row r="191" spans="1:20" x14ac:dyDescent="0.25">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t="s">
        <v>129</v>
      </c>
      <c r="T191" t="s">
        <v>59</v>
      </c>
    </row>
    <row r="192" spans="1:20" x14ac:dyDescent="0.25">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t="s">
        <v>129</v>
      </c>
      <c r="T192" t="s">
        <v>59</v>
      </c>
    </row>
    <row r="193" spans="1:20" x14ac:dyDescent="0.25">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t="s">
        <v>47</v>
      </c>
      <c r="T193" t="s">
        <v>96</v>
      </c>
    </row>
    <row r="194" spans="1:20" x14ac:dyDescent="0.25">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t="s">
        <v>70</v>
      </c>
      <c r="T194" t="s">
        <v>71</v>
      </c>
    </row>
    <row r="195" spans="1:20" x14ac:dyDescent="0.25">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t="s">
        <v>83</v>
      </c>
      <c r="T195" t="s">
        <v>34</v>
      </c>
    </row>
    <row r="196" spans="1:20" x14ac:dyDescent="0.25">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t="s">
        <v>83</v>
      </c>
      <c r="T196" t="s">
        <v>34</v>
      </c>
    </row>
    <row r="197" spans="1:20" x14ac:dyDescent="0.25">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t="s">
        <v>83</v>
      </c>
      <c r="T197" t="s">
        <v>34</v>
      </c>
    </row>
    <row r="198" spans="1:20" x14ac:dyDescent="0.25">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t="s">
        <v>83</v>
      </c>
      <c r="T198" t="s">
        <v>113</v>
      </c>
    </row>
    <row r="199" spans="1:20" x14ac:dyDescent="0.25">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t="s">
        <v>83</v>
      </c>
      <c r="T199" t="s">
        <v>96</v>
      </c>
    </row>
    <row r="200" spans="1:20" x14ac:dyDescent="0.25">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t="s">
        <v>430</v>
      </c>
      <c r="T200" t="s">
        <v>77</v>
      </c>
    </row>
    <row r="201" spans="1:20" x14ac:dyDescent="0.25">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t="s">
        <v>58</v>
      </c>
      <c r="T201" t="s">
        <v>34</v>
      </c>
    </row>
    <row r="202" spans="1:20" x14ac:dyDescent="0.25">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t="s">
        <v>70</v>
      </c>
      <c r="T202" t="s">
        <v>169</v>
      </c>
    </row>
    <row r="203" spans="1:20" x14ac:dyDescent="0.25">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t="s">
        <v>58</v>
      </c>
      <c r="T203" t="s">
        <v>48</v>
      </c>
    </row>
    <row r="204" spans="1:20" x14ac:dyDescent="0.25">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t="s">
        <v>33</v>
      </c>
      <c r="T204" t="s">
        <v>34</v>
      </c>
    </row>
    <row r="205" spans="1:20" x14ac:dyDescent="0.25">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t="s">
        <v>58</v>
      </c>
      <c r="T205" t="s">
        <v>161</v>
      </c>
    </row>
    <row r="206" spans="1:20" x14ac:dyDescent="0.25">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t="s">
        <v>70</v>
      </c>
      <c r="T206" t="s">
        <v>195</v>
      </c>
    </row>
    <row r="207" spans="1:20" x14ac:dyDescent="0.25">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t="s">
        <v>129</v>
      </c>
      <c r="T207" t="s">
        <v>48</v>
      </c>
    </row>
    <row r="208" spans="1:20" x14ac:dyDescent="0.25">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t="s">
        <v>129</v>
      </c>
      <c r="T208" t="s">
        <v>48</v>
      </c>
    </row>
    <row r="209" spans="1:20" x14ac:dyDescent="0.25">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t="s">
        <v>430</v>
      </c>
      <c r="T209" t="s">
        <v>71</v>
      </c>
    </row>
    <row r="210" spans="1:20" x14ac:dyDescent="0.25">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t="s">
        <v>70</v>
      </c>
      <c r="T210" t="s">
        <v>34</v>
      </c>
    </row>
    <row r="211" spans="1:20" x14ac:dyDescent="0.25">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t="s">
        <v>83</v>
      </c>
      <c r="T211" t="s">
        <v>59</v>
      </c>
    </row>
    <row r="212" spans="1:20" x14ac:dyDescent="0.25">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t="s">
        <v>33</v>
      </c>
      <c r="T212" t="s">
        <v>96</v>
      </c>
    </row>
    <row r="213" spans="1:20" x14ac:dyDescent="0.25">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t="s">
        <v>83</v>
      </c>
      <c r="T213" t="s">
        <v>71</v>
      </c>
    </row>
    <row r="214" spans="1:20" x14ac:dyDescent="0.25">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t="s">
        <v>83</v>
      </c>
      <c r="T214" t="s">
        <v>71</v>
      </c>
    </row>
    <row r="215" spans="1:20" x14ac:dyDescent="0.25">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t="s">
        <v>129</v>
      </c>
      <c r="T215" t="s">
        <v>113</v>
      </c>
    </row>
    <row r="216" spans="1:20" x14ac:dyDescent="0.25">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t="s">
        <v>83</v>
      </c>
      <c r="T216" t="s">
        <v>71</v>
      </c>
    </row>
    <row r="217" spans="1:20" x14ac:dyDescent="0.25">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t="s">
        <v>83</v>
      </c>
      <c r="T217" t="s">
        <v>71</v>
      </c>
    </row>
    <row r="218" spans="1:20" x14ac:dyDescent="0.25">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t="s">
        <v>83</v>
      </c>
      <c r="T218" t="s">
        <v>113</v>
      </c>
    </row>
    <row r="219" spans="1:20" x14ac:dyDescent="0.25">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t="s">
        <v>83</v>
      </c>
      <c r="T219" t="s">
        <v>195</v>
      </c>
    </row>
    <row r="220" spans="1:20" x14ac:dyDescent="0.25">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t="s">
        <v>33</v>
      </c>
      <c r="T220" t="s">
        <v>77</v>
      </c>
    </row>
    <row r="221" spans="1:20" x14ac:dyDescent="0.25">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t="s">
        <v>83</v>
      </c>
      <c r="T221" t="s">
        <v>48</v>
      </c>
    </row>
    <row r="222" spans="1:20" x14ac:dyDescent="0.25">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t="s">
        <v>58</v>
      </c>
      <c r="T222" t="s">
        <v>195</v>
      </c>
    </row>
    <row r="223" spans="1:20" x14ac:dyDescent="0.25">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t="s">
        <v>70</v>
      </c>
      <c r="T223" t="s">
        <v>71</v>
      </c>
    </row>
    <row r="224" spans="1:20" x14ac:dyDescent="0.25">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t="s">
        <v>70</v>
      </c>
      <c r="T224" t="s">
        <v>71</v>
      </c>
    </row>
    <row r="225" spans="1:20" x14ac:dyDescent="0.25">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t="s">
        <v>83</v>
      </c>
      <c r="T225" t="s">
        <v>113</v>
      </c>
    </row>
    <row r="226" spans="1:20" x14ac:dyDescent="0.25">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t="s">
        <v>129</v>
      </c>
      <c r="T226" t="s">
        <v>195</v>
      </c>
    </row>
    <row r="227" spans="1:20" x14ac:dyDescent="0.25">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t="s">
        <v>123</v>
      </c>
      <c r="T227" t="s">
        <v>48</v>
      </c>
    </row>
    <row r="228" spans="1:20" x14ac:dyDescent="0.25">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t="s">
        <v>58</v>
      </c>
      <c r="T228" t="s">
        <v>34</v>
      </c>
    </row>
    <row r="229" spans="1:20" x14ac:dyDescent="0.25">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t="s">
        <v>83</v>
      </c>
      <c r="T229" t="s">
        <v>195</v>
      </c>
    </row>
    <row r="230" spans="1:20" x14ac:dyDescent="0.25">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t="s">
        <v>129</v>
      </c>
      <c r="T230" t="s">
        <v>59</v>
      </c>
    </row>
    <row r="231" spans="1:20" x14ac:dyDescent="0.25">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t="s">
        <v>33</v>
      </c>
      <c r="T231" t="s">
        <v>59</v>
      </c>
    </row>
    <row r="232" spans="1:20" x14ac:dyDescent="0.25">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t="s">
        <v>33</v>
      </c>
      <c r="T232" t="s">
        <v>59</v>
      </c>
    </row>
    <row r="233" spans="1:20" x14ac:dyDescent="0.25">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t="s">
        <v>58</v>
      </c>
      <c r="T233" t="s">
        <v>34</v>
      </c>
    </row>
    <row r="234" spans="1:20" x14ac:dyDescent="0.25">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t="s">
        <v>58</v>
      </c>
      <c r="T234" t="s">
        <v>96</v>
      </c>
    </row>
    <row r="235" spans="1:20" x14ac:dyDescent="0.25">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t="s">
        <v>129</v>
      </c>
      <c r="T235" t="s">
        <v>169</v>
      </c>
    </row>
    <row r="236" spans="1:20" x14ac:dyDescent="0.25">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t="s">
        <v>129</v>
      </c>
      <c r="T236" t="s">
        <v>169</v>
      </c>
    </row>
    <row r="237" spans="1:20" x14ac:dyDescent="0.25">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t="s">
        <v>83</v>
      </c>
      <c r="T237" t="s">
        <v>113</v>
      </c>
    </row>
    <row r="238" spans="1:20" x14ac:dyDescent="0.25">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t="s">
        <v>83</v>
      </c>
      <c r="T238" t="s">
        <v>77</v>
      </c>
    </row>
    <row r="239" spans="1:20" x14ac:dyDescent="0.25">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t="s">
        <v>129</v>
      </c>
      <c r="T239" t="s">
        <v>161</v>
      </c>
    </row>
    <row r="240" spans="1:20" x14ac:dyDescent="0.25">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t="s">
        <v>123</v>
      </c>
      <c r="T240" t="s">
        <v>96</v>
      </c>
    </row>
    <row r="241" spans="1:20" x14ac:dyDescent="0.25">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t="s">
        <v>123</v>
      </c>
      <c r="T241" t="s">
        <v>96</v>
      </c>
    </row>
    <row r="242" spans="1:20" x14ac:dyDescent="0.25">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t="s">
        <v>58</v>
      </c>
      <c r="T242" t="s">
        <v>71</v>
      </c>
    </row>
    <row r="243" spans="1:20" x14ac:dyDescent="0.25">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t="s">
        <v>70</v>
      </c>
      <c r="T243" t="s">
        <v>96</v>
      </c>
    </row>
    <row r="244" spans="1:20" x14ac:dyDescent="0.25">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t="s">
        <v>83</v>
      </c>
      <c r="T244" t="s">
        <v>96</v>
      </c>
    </row>
    <row r="245" spans="1:20" x14ac:dyDescent="0.25">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t="s">
        <v>70</v>
      </c>
      <c r="T245" t="s">
        <v>297</v>
      </c>
    </row>
    <row r="246" spans="1:20" x14ac:dyDescent="0.25">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t="s">
        <v>430</v>
      </c>
      <c r="T246" t="s">
        <v>77</v>
      </c>
    </row>
    <row r="247" spans="1:20" x14ac:dyDescent="0.25">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t="s">
        <v>430</v>
      </c>
      <c r="T247" t="s">
        <v>77</v>
      </c>
    </row>
    <row r="248" spans="1:20" x14ac:dyDescent="0.25">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t="s">
        <v>83</v>
      </c>
      <c r="T248" t="s">
        <v>113</v>
      </c>
    </row>
    <row r="249" spans="1:20" x14ac:dyDescent="0.25">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t="s">
        <v>129</v>
      </c>
      <c r="T249" t="s">
        <v>71</v>
      </c>
    </row>
    <row r="250" spans="1:20" x14ac:dyDescent="0.25">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t="s">
        <v>129</v>
      </c>
      <c r="T250" t="s">
        <v>71</v>
      </c>
    </row>
    <row r="251" spans="1:20" x14ac:dyDescent="0.25">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t="s">
        <v>83</v>
      </c>
      <c r="T251" t="s">
        <v>71</v>
      </c>
    </row>
    <row r="252" spans="1:20" x14ac:dyDescent="0.25">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t="s">
        <v>83</v>
      </c>
      <c r="T252" t="s">
        <v>77</v>
      </c>
    </row>
    <row r="253" spans="1:20" x14ac:dyDescent="0.25">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t="s">
        <v>83</v>
      </c>
      <c r="T253" t="s">
        <v>77</v>
      </c>
    </row>
    <row r="254" spans="1:20" x14ac:dyDescent="0.25">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t="s">
        <v>123</v>
      </c>
      <c r="T254" t="s">
        <v>96</v>
      </c>
    </row>
    <row r="255" spans="1:20" x14ac:dyDescent="0.25">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t="s">
        <v>58</v>
      </c>
      <c r="T255" t="s">
        <v>34</v>
      </c>
    </row>
    <row r="256" spans="1:20" x14ac:dyDescent="0.25">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t="s">
        <v>430</v>
      </c>
      <c r="T256" t="s">
        <v>48</v>
      </c>
    </row>
    <row r="257" spans="1:20" x14ac:dyDescent="0.25">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t="s">
        <v>430</v>
      </c>
      <c r="T257" t="s">
        <v>48</v>
      </c>
    </row>
    <row r="258" spans="1:20" x14ac:dyDescent="0.25">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t="s">
        <v>430</v>
      </c>
      <c r="T258" t="s">
        <v>48</v>
      </c>
    </row>
    <row r="259" spans="1:20" x14ac:dyDescent="0.25">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t="s">
        <v>83</v>
      </c>
      <c r="T259" t="s">
        <v>253</v>
      </c>
    </row>
    <row r="260" spans="1:20" x14ac:dyDescent="0.25">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t="s">
        <v>70</v>
      </c>
      <c r="T260" t="s">
        <v>96</v>
      </c>
    </row>
    <row r="261" spans="1:20" x14ac:dyDescent="0.25">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t="s">
        <v>70</v>
      </c>
      <c r="T261" t="s">
        <v>96</v>
      </c>
    </row>
    <row r="262" spans="1:20" x14ac:dyDescent="0.25">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t="s">
        <v>70</v>
      </c>
      <c r="T262" t="s">
        <v>96</v>
      </c>
    </row>
    <row r="263" spans="1:20" x14ac:dyDescent="0.25">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t="s">
        <v>129</v>
      </c>
      <c r="T263" t="s">
        <v>96</v>
      </c>
    </row>
    <row r="264" spans="1:20" x14ac:dyDescent="0.25">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t="s">
        <v>83</v>
      </c>
      <c r="T264" t="s">
        <v>195</v>
      </c>
    </row>
    <row r="265" spans="1:20" x14ac:dyDescent="0.25">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t="s">
        <v>83</v>
      </c>
      <c r="T265" t="s">
        <v>195</v>
      </c>
    </row>
    <row r="266" spans="1:20" x14ac:dyDescent="0.25">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t="s">
        <v>123</v>
      </c>
      <c r="T266" t="s">
        <v>48</v>
      </c>
    </row>
    <row r="267" spans="1:20" x14ac:dyDescent="0.25">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t="s">
        <v>58</v>
      </c>
      <c r="T267" t="s">
        <v>96</v>
      </c>
    </row>
    <row r="268" spans="1:20" x14ac:dyDescent="0.25">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t="s">
        <v>83</v>
      </c>
      <c r="T268" t="s">
        <v>77</v>
      </c>
    </row>
    <row r="269" spans="1:20" x14ac:dyDescent="0.25">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t="s">
        <v>430</v>
      </c>
      <c r="T269" t="s">
        <v>161</v>
      </c>
    </row>
    <row r="270" spans="1:20" x14ac:dyDescent="0.25">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t="s">
        <v>83</v>
      </c>
      <c r="T270" t="s">
        <v>34</v>
      </c>
    </row>
    <row r="271" spans="1:20" x14ac:dyDescent="0.25">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t="s">
        <v>70</v>
      </c>
      <c r="T271" t="s">
        <v>96</v>
      </c>
    </row>
    <row r="272" spans="1:20" x14ac:dyDescent="0.25">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t="s">
        <v>70</v>
      </c>
      <c r="T272" t="s">
        <v>96</v>
      </c>
    </row>
    <row r="273" spans="1:20" x14ac:dyDescent="0.25">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t="s">
        <v>58</v>
      </c>
      <c r="T273" t="s">
        <v>77</v>
      </c>
    </row>
    <row r="274" spans="1:20" x14ac:dyDescent="0.25">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t="s">
        <v>83</v>
      </c>
      <c r="T274" t="s">
        <v>71</v>
      </c>
    </row>
    <row r="275" spans="1:20" x14ac:dyDescent="0.25">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t="s">
        <v>123</v>
      </c>
      <c r="T275" t="s">
        <v>59</v>
      </c>
    </row>
    <row r="276" spans="1:20" x14ac:dyDescent="0.25">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t="s">
        <v>47</v>
      </c>
      <c r="T276" t="s">
        <v>77</v>
      </c>
    </row>
    <row r="277" spans="1:20" x14ac:dyDescent="0.25">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t="s">
        <v>58</v>
      </c>
      <c r="T277" t="s">
        <v>96</v>
      </c>
    </row>
    <row r="278" spans="1:20" x14ac:dyDescent="0.25">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t="s">
        <v>83</v>
      </c>
      <c r="T278" t="s">
        <v>59</v>
      </c>
    </row>
    <row r="279" spans="1:20" x14ac:dyDescent="0.25">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t="s">
        <v>83</v>
      </c>
      <c r="T279" t="s">
        <v>161</v>
      </c>
    </row>
    <row r="280" spans="1:20" x14ac:dyDescent="0.25">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t="s">
        <v>58</v>
      </c>
      <c r="T280" t="s">
        <v>113</v>
      </c>
    </row>
    <row r="281" spans="1:20" x14ac:dyDescent="0.25">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t="s">
        <v>70</v>
      </c>
      <c r="T281" t="s">
        <v>195</v>
      </c>
    </row>
    <row r="282" spans="1:20" x14ac:dyDescent="0.25">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t="s">
        <v>58</v>
      </c>
      <c r="T282" t="s">
        <v>48</v>
      </c>
    </row>
    <row r="283" spans="1:20" x14ac:dyDescent="0.25">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t="s">
        <v>58</v>
      </c>
      <c r="T283" t="s">
        <v>161</v>
      </c>
    </row>
    <row r="284" spans="1:20" x14ac:dyDescent="0.25">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t="s">
        <v>123</v>
      </c>
      <c r="T284" t="s">
        <v>113</v>
      </c>
    </row>
    <row r="285" spans="1:20" x14ac:dyDescent="0.25">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t="s">
        <v>58</v>
      </c>
      <c r="T285" t="s">
        <v>77</v>
      </c>
    </row>
    <row r="286" spans="1:20" x14ac:dyDescent="0.25">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t="s">
        <v>123</v>
      </c>
      <c r="T286" t="s">
        <v>34</v>
      </c>
    </row>
    <row r="287" spans="1:20" x14ac:dyDescent="0.25">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t="s">
        <v>33</v>
      </c>
      <c r="T287" t="s">
        <v>71</v>
      </c>
    </row>
    <row r="288" spans="1:20" x14ac:dyDescent="0.25">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t="s">
        <v>83</v>
      </c>
      <c r="T288" t="s">
        <v>96</v>
      </c>
    </row>
    <row r="289" spans="1:20" x14ac:dyDescent="0.25">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t="s">
        <v>58</v>
      </c>
      <c r="T289" t="s">
        <v>77</v>
      </c>
    </row>
    <row r="290" spans="1:20" x14ac:dyDescent="0.25">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t="s">
        <v>129</v>
      </c>
      <c r="T290" t="s">
        <v>77</v>
      </c>
    </row>
    <row r="291" spans="1:20" x14ac:dyDescent="0.25">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t="s">
        <v>430</v>
      </c>
      <c r="T291" t="s">
        <v>297</v>
      </c>
    </row>
    <row r="292" spans="1:20" x14ac:dyDescent="0.25">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t="s">
        <v>430</v>
      </c>
      <c r="T292" t="s">
        <v>297</v>
      </c>
    </row>
    <row r="293" spans="1:20" x14ac:dyDescent="0.25">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t="s">
        <v>58</v>
      </c>
      <c r="T293" t="s">
        <v>48</v>
      </c>
    </row>
    <row r="294" spans="1:20" x14ac:dyDescent="0.25">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t="s">
        <v>58</v>
      </c>
      <c r="T294" t="s">
        <v>48</v>
      </c>
    </row>
    <row r="295" spans="1:20" x14ac:dyDescent="0.25">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t="s">
        <v>129</v>
      </c>
      <c r="T295" t="s">
        <v>113</v>
      </c>
    </row>
    <row r="296" spans="1:20" x14ac:dyDescent="0.25">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t="s">
        <v>70</v>
      </c>
      <c r="T296" t="s">
        <v>113</v>
      </c>
    </row>
    <row r="297" spans="1:20" x14ac:dyDescent="0.25">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t="s">
        <v>83</v>
      </c>
      <c r="T297" t="s">
        <v>77</v>
      </c>
    </row>
    <row r="298" spans="1:20" x14ac:dyDescent="0.25">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t="s">
        <v>58</v>
      </c>
      <c r="T298" t="s">
        <v>77</v>
      </c>
    </row>
    <row r="299" spans="1:20" x14ac:dyDescent="0.25">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t="s">
        <v>83</v>
      </c>
      <c r="T299" t="s">
        <v>71</v>
      </c>
    </row>
    <row r="300" spans="1:20" x14ac:dyDescent="0.25">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t="s">
        <v>83</v>
      </c>
      <c r="T300" t="s">
        <v>71</v>
      </c>
    </row>
    <row r="301" spans="1:20" x14ac:dyDescent="0.25">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t="s">
        <v>33</v>
      </c>
      <c r="T301" t="s">
        <v>169</v>
      </c>
    </row>
    <row r="302" spans="1:20" x14ac:dyDescent="0.25">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t="s">
        <v>33</v>
      </c>
      <c r="T302" t="s">
        <v>77</v>
      </c>
    </row>
    <row r="303" spans="1:20" x14ac:dyDescent="0.25">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t="s">
        <v>70</v>
      </c>
      <c r="T303" t="s">
        <v>96</v>
      </c>
    </row>
    <row r="304" spans="1:20" x14ac:dyDescent="0.25">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t="s">
        <v>430</v>
      </c>
      <c r="T304" t="s">
        <v>48</v>
      </c>
    </row>
    <row r="305" spans="1:20" x14ac:dyDescent="0.25">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t="s">
        <v>33</v>
      </c>
      <c r="T305" t="s">
        <v>59</v>
      </c>
    </row>
    <row r="306" spans="1:20" x14ac:dyDescent="0.25">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t="s">
        <v>47</v>
      </c>
      <c r="T306" t="s">
        <v>59</v>
      </c>
    </row>
    <row r="307" spans="1:20" x14ac:dyDescent="0.25">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t="s">
        <v>430</v>
      </c>
      <c r="T307" t="s">
        <v>161</v>
      </c>
    </row>
    <row r="308" spans="1:20" x14ac:dyDescent="0.25">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t="s">
        <v>83</v>
      </c>
      <c r="T308" t="s">
        <v>195</v>
      </c>
    </row>
    <row r="309" spans="1:20" x14ac:dyDescent="0.25">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t="s">
        <v>70</v>
      </c>
      <c r="T309" t="s">
        <v>253</v>
      </c>
    </row>
    <row r="310" spans="1:20" x14ac:dyDescent="0.25">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t="s">
        <v>129</v>
      </c>
      <c r="T310" t="s">
        <v>253</v>
      </c>
    </row>
    <row r="311" spans="1:20" x14ac:dyDescent="0.25">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t="s">
        <v>83</v>
      </c>
      <c r="T311" t="s">
        <v>96</v>
      </c>
    </row>
    <row r="312" spans="1:20" x14ac:dyDescent="0.25">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t="s">
        <v>123</v>
      </c>
      <c r="T312" t="s">
        <v>96</v>
      </c>
    </row>
    <row r="313" spans="1:20" x14ac:dyDescent="0.25">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t="s">
        <v>83</v>
      </c>
      <c r="T313" t="s">
        <v>34</v>
      </c>
    </row>
    <row r="314" spans="1:20" x14ac:dyDescent="0.25">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t="s">
        <v>83</v>
      </c>
      <c r="T314" t="s">
        <v>34</v>
      </c>
    </row>
    <row r="315" spans="1:20" x14ac:dyDescent="0.25">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t="s">
        <v>83</v>
      </c>
      <c r="T315" t="s">
        <v>48</v>
      </c>
    </row>
    <row r="316" spans="1:20" x14ac:dyDescent="0.25">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t="s">
        <v>47</v>
      </c>
      <c r="T316" t="s">
        <v>34</v>
      </c>
    </row>
    <row r="317" spans="1:20" x14ac:dyDescent="0.25">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t="s">
        <v>129</v>
      </c>
      <c r="T317" t="s">
        <v>253</v>
      </c>
    </row>
    <row r="318" spans="1:20" x14ac:dyDescent="0.25">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t="s">
        <v>33</v>
      </c>
      <c r="T318" t="s">
        <v>77</v>
      </c>
    </row>
    <row r="319" spans="1:20" x14ac:dyDescent="0.25">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t="s">
        <v>129</v>
      </c>
      <c r="T319" t="s">
        <v>96</v>
      </c>
    </row>
    <row r="320" spans="1:20" x14ac:dyDescent="0.25">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t="s">
        <v>83</v>
      </c>
      <c r="T320" t="s">
        <v>96</v>
      </c>
    </row>
    <row r="321" spans="1:20" x14ac:dyDescent="0.25">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t="s">
        <v>58</v>
      </c>
      <c r="T321" t="s">
        <v>96</v>
      </c>
    </row>
    <row r="322" spans="1:20" x14ac:dyDescent="0.25">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t="s">
        <v>58</v>
      </c>
      <c r="T322" t="s">
        <v>71</v>
      </c>
    </row>
    <row r="323" spans="1:20" x14ac:dyDescent="0.25">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t="s">
        <v>83</v>
      </c>
      <c r="T323" t="s">
        <v>297</v>
      </c>
    </row>
    <row r="324" spans="1:20" x14ac:dyDescent="0.25">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t="s">
        <v>70</v>
      </c>
      <c r="T324" t="s">
        <v>77</v>
      </c>
    </row>
    <row r="325" spans="1:20" x14ac:dyDescent="0.25">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t="s">
        <v>58</v>
      </c>
      <c r="T325" t="s">
        <v>195</v>
      </c>
    </row>
    <row r="326" spans="1:20" x14ac:dyDescent="0.25">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t="s">
        <v>83</v>
      </c>
      <c r="T326" t="s">
        <v>96</v>
      </c>
    </row>
    <row r="327" spans="1:20" x14ac:dyDescent="0.25">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t="s">
        <v>70</v>
      </c>
      <c r="T327" t="s">
        <v>195</v>
      </c>
    </row>
    <row r="328" spans="1:20" x14ac:dyDescent="0.25">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t="s">
        <v>430</v>
      </c>
      <c r="T328" t="s">
        <v>59</v>
      </c>
    </row>
    <row r="329" spans="1:20" x14ac:dyDescent="0.25">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t="s">
        <v>70</v>
      </c>
      <c r="T329" t="s">
        <v>34</v>
      </c>
    </row>
    <row r="330" spans="1:20" x14ac:dyDescent="0.25">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t="s">
        <v>70</v>
      </c>
      <c r="T330" t="s">
        <v>34</v>
      </c>
    </row>
    <row r="331" spans="1:20" x14ac:dyDescent="0.25">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t="s">
        <v>33</v>
      </c>
      <c r="T331" t="s">
        <v>96</v>
      </c>
    </row>
    <row r="332" spans="1:20" x14ac:dyDescent="0.25">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t="s">
        <v>33</v>
      </c>
      <c r="T332" t="s">
        <v>253</v>
      </c>
    </row>
    <row r="333" spans="1:20" x14ac:dyDescent="0.25">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t="s">
        <v>33</v>
      </c>
      <c r="T333" t="s">
        <v>253</v>
      </c>
    </row>
    <row r="334" spans="1:20" x14ac:dyDescent="0.25">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t="s">
        <v>33</v>
      </c>
      <c r="T334" t="s">
        <v>253</v>
      </c>
    </row>
    <row r="335" spans="1:20" x14ac:dyDescent="0.25">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t="s">
        <v>33</v>
      </c>
      <c r="T335" t="s">
        <v>195</v>
      </c>
    </row>
    <row r="336" spans="1:20" x14ac:dyDescent="0.25">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t="s">
        <v>83</v>
      </c>
      <c r="T336" t="s">
        <v>161</v>
      </c>
    </row>
    <row r="337" spans="1:20" x14ac:dyDescent="0.25">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t="s">
        <v>70</v>
      </c>
      <c r="T337" t="s">
        <v>48</v>
      </c>
    </row>
    <row r="338" spans="1:20" x14ac:dyDescent="0.25">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t="s">
        <v>70</v>
      </c>
      <c r="T338" t="s">
        <v>34</v>
      </c>
    </row>
    <row r="339" spans="1:20" x14ac:dyDescent="0.25">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t="s">
        <v>58</v>
      </c>
      <c r="T339" t="s">
        <v>161</v>
      </c>
    </row>
    <row r="340" spans="1:20" x14ac:dyDescent="0.25">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t="s">
        <v>83</v>
      </c>
      <c r="T340" t="s">
        <v>161</v>
      </c>
    </row>
    <row r="341" spans="1:20" x14ac:dyDescent="0.25">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t="s">
        <v>47</v>
      </c>
      <c r="T341" t="s">
        <v>71</v>
      </c>
    </row>
    <row r="342" spans="1:20" x14ac:dyDescent="0.25">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t="s">
        <v>129</v>
      </c>
      <c r="T342" t="s">
        <v>77</v>
      </c>
    </row>
    <row r="343" spans="1:20" x14ac:dyDescent="0.25">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t="s">
        <v>83</v>
      </c>
      <c r="T343" t="s">
        <v>59</v>
      </c>
    </row>
    <row r="344" spans="1:20" x14ac:dyDescent="0.25">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t="s">
        <v>129</v>
      </c>
      <c r="T344" t="s">
        <v>161</v>
      </c>
    </row>
    <row r="345" spans="1:20" x14ac:dyDescent="0.25">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t="s">
        <v>33</v>
      </c>
      <c r="T345" t="s">
        <v>161</v>
      </c>
    </row>
    <row r="346" spans="1:20" x14ac:dyDescent="0.25">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t="s">
        <v>58</v>
      </c>
      <c r="T346" t="s">
        <v>169</v>
      </c>
    </row>
    <row r="347" spans="1:20" x14ac:dyDescent="0.25">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t="s">
        <v>83</v>
      </c>
      <c r="T347" t="s">
        <v>77</v>
      </c>
    </row>
    <row r="348" spans="1:20" x14ac:dyDescent="0.25">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t="s">
        <v>129</v>
      </c>
      <c r="T348" t="s">
        <v>77</v>
      </c>
    </row>
    <row r="349" spans="1:20" x14ac:dyDescent="0.25">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t="s">
        <v>58</v>
      </c>
      <c r="T349" t="s">
        <v>34</v>
      </c>
    </row>
    <row r="350" spans="1:20" x14ac:dyDescent="0.25">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t="s">
        <v>70</v>
      </c>
      <c r="T350" t="s">
        <v>96</v>
      </c>
    </row>
    <row r="351" spans="1:20" x14ac:dyDescent="0.25">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t="s">
        <v>83</v>
      </c>
      <c r="T351" t="s">
        <v>253</v>
      </c>
    </row>
    <row r="352" spans="1:20" x14ac:dyDescent="0.25">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t="s">
        <v>58</v>
      </c>
      <c r="T352" t="s">
        <v>195</v>
      </c>
    </row>
    <row r="353" spans="1:20" x14ac:dyDescent="0.25">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t="s">
        <v>83</v>
      </c>
      <c r="T353" t="s">
        <v>59</v>
      </c>
    </row>
    <row r="354" spans="1:20" x14ac:dyDescent="0.25">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t="s">
        <v>70</v>
      </c>
      <c r="T354" t="s">
        <v>71</v>
      </c>
    </row>
    <row r="355" spans="1:20" x14ac:dyDescent="0.25">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t="s">
        <v>129</v>
      </c>
      <c r="T355" t="s">
        <v>48</v>
      </c>
    </row>
    <row r="356" spans="1:20" x14ac:dyDescent="0.25">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t="s">
        <v>58</v>
      </c>
      <c r="T356" t="s">
        <v>77</v>
      </c>
    </row>
    <row r="357" spans="1:20" x14ac:dyDescent="0.25">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t="s">
        <v>129</v>
      </c>
      <c r="T357" t="s">
        <v>48</v>
      </c>
    </row>
    <row r="358" spans="1:20" x14ac:dyDescent="0.25">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t="s">
        <v>58</v>
      </c>
      <c r="T358" t="s">
        <v>161</v>
      </c>
    </row>
    <row r="359" spans="1:20" x14ac:dyDescent="0.25">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t="s">
        <v>58</v>
      </c>
      <c r="T359" t="s">
        <v>161</v>
      </c>
    </row>
    <row r="360" spans="1:20" x14ac:dyDescent="0.25">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t="s">
        <v>58</v>
      </c>
      <c r="T360" t="s">
        <v>96</v>
      </c>
    </row>
    <row r="361" spans="1:20" x14ac:dyDescent="0.25">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t="s">
        <v>58</v>
      </c>
      <c r="T361" t="s">
        <v>113</v>
      </c>
    </row>
    <row r="362" spans="1:20" x14ac:dyDescent="0.25">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t="s">
        <v>83</v>
      </c>
      <c r="T362" t="s">
        <v>48</v>
      </c>
    </row>
    <row r="363" spans="1:20" x14ac:dyDescent="0.25">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t="s">
        <v>58</v>
      </c>
      <c r="T363" t="s">
        <v>34</v>
      </c>
    </row>
    <row r="364" spans="1:20" x14ac:dyDescent="0.25">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t="s">
        <v>33</v>
      </c>
      <c r="T364" t="s">
        <v>48</v>
      </c>
    </row>
    <row r="365" spans="1:20" x14ac:dyDescent="0.25">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t="s">
        <v>83</v>
      </c>
      <c r="T365" t="s">
        <v>77</v>
      </c>
    </row>
    <row r="366" spans="1:20" x14ac:dyDescent="0.25">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t="s">
        <v>83</v>
      </c>
      <c r="T366" t="s">
        <v>77</v>
      </c>
    </row>
    <row r="367" spans="1:20" x14ac:dyDescent="0.25">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t="s">
        <v>83</v>
      </c>
      <c r="T367" t="s">
        <v>253</v>
      </c>
    </row>
    <row r="368" spans="1:20" x14ac:dyDescent="0.25">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t="s">
        <v>70</v>
      </c>
      <c r="T368" t="s">
        <v>96</v>
      </c>
    </row>
    <row r="369" spans="1:20" x14ac:dyDescent="0.25">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t="s">
        <v>83</v>
      </c>
      <c r="T369" t="s">
        <v>71</v>
      </c>
    </row>
    <row r="370" spans="1:20" x14ac:dyDescent="0.25">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t="s">
        <v>129</v>
      </c>
      <c r="T370" t="s">
        <v>34</v>
      </c>
    </row>
    <row r="371" spans="1:20" x14ac:dyDescent="0.25">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t="s">
        <v>129</v>
      </c>
      <c r="T371" t="s">
        <v>48</v>
      </c>
    </row>
    <row r="372" spans="1:20" x14ac:dyDescent="0.25">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t="s">
        <v>70</v>
      </c>
      <c r="T372" t="s">
        <v>59</v>
      </c>
    </row>
    <row r="373" spans="1:20" x14ac:dyDescent="0.25">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t="s">
        <v>129</v>
      </c>
      <c r="T373" t="s">
        <v>34</v>
      </c>
    </row>
    <row r="374" spans="1:20" x14ac:dyDescent="0.25">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t="s">
        <v>129</v>
      </c>
      <c r="T374" t="s">
        <v>34</v>
      </c>
    </row>
    <row r="375" spans="1:20" x14ac:dyDescent="0.25">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t="s">
        <v>83</v>
      </c>
      <c r="T375" t="s">
        <v>77</v>
      </c>
    </row>
    <row r="376" spans="1:20" x14ac:dyDescent="0.25">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t="s">
        <v>83</v>
      </c>
      <c r="T376" t="s">
        <v>161</v>
      </c>
    </row>
    <row r="377" spans="1:20" x14ac:dyDescent="0.25">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t="s">
        <v>83</v>
      </c>
      <c r="T377" t="s">
        <v>297</v>
      </c>
    </row>
    <row r="378" spans="1:20" x14ac:dyDescent="0.25">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t="s">
        <v>129</v>
      </c>
      <c r="T378" t="s">
        <v>96</v>
      </c>
    </row>
    <row r="379" spans="1:20" x14ac:dyDescent="0.25">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t="s">
        <v>129</v>
      </c>
      <c r="T379" t="s">
        <v>96</v>
      </c>
    </row>
    <row r="380" spans="1:20" x14ac:dyDescent="0.25">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t="s">
        <v>430</v>
      </c>
      <c r="T380" t="s">
        <v>48</v>
      </c>
    </row>
    <row r="381" spans="1:20" x14ac:dyDescent="0.25">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t="s">
        <v>83</v>
      </c>
      <c r="T381" t="s">
        <v>34</v>
      </c>
    </row>
    <row r="382" spans="1:20" x14ac:dyDescent="0.25">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t="s">
        <v>83</v>
      </c>
      <c r="T382" t="s">
        <v>253</v>
      </c>
    </row>
    <row r="383" spans="1:20" x14ac:dyDescent="0.25">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t="s">
        <v>58</v>
      </c>
      <c r="T383" t="s">
        <v>71</v>
      </c>
    </row>
    <row r="384" spans="1:20" x14ac:dyDescent="0.25">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t="s">
        <v>70</v>
      </c>
      <c r="T384" t="s">
        <v>297</v>
      </c>
    </row>
    <row r="385" spans="1:20" x14ac:dyDescent="0.25">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t="s">
        <v>58</v>
      </c>
      <c r="T385" t="s">
        <v>169</v>
      </c>
    </row>
    <row r="386" spans="1:20" x14ac:dyDescent="0.25">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t="s">
        <v>430</v>
      </c>
      <c r="T386" t="s">
        <v>77</v>
      </c>
    </row>
    <row r="387" spans="1:20" x14ac:dyDescent="0.25">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t="s">
        <v>123</v>
      </c>
      <c r="T387" t="s">
        <v>195</v>
      </c>
    </row>
    <row r="388" spans="1:20" x14ac:dyDescent="0.25">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t="s">
        <v>83</v>
      </c>
      <c r="T388" t="s">
        <v>48</v>
      </c>
    </row>
    <row r="389" spans="1:20" x14ac:dyDescent="0.25">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t="s">
        <v>83</v>
      </c>
      <c r="T389" t="s">
        <v>48</v>
      </c>
    </row>
    <row r="390" spans="1:20" x14ac:dyDescent="0.25">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t="s">
        <v>33</v>
      </c>
      <c r="T390" t="s">
        <v>113</v>
      </c>
    </row>
    <row r="391" spans="1:20" x14ac:dyDescent="0.25">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t="s">
        <v>83</v>
      </c>
      <c r="T391" t="s">
        <v>71</v>
      </c>
    </row>
    <row r="392" spans="1:20" x14ac:dyDescent="0.25">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t="s">
        <v>83</v>
      </c>
      <c r="T392" t="s">
        <v>71</v>
      </c>
    </row>
    <row r="393" spans="1:20" x14ac:dyDescent="0.25">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t="s">
        <v>83</v>
      </c>
      <c r="T393" t="s">
        <v>34</v>
      </c>
    </row>
    <row r="394" spans="1:20" x14ac:dyDescent="0.25">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t="s">
        <v>129</v>
      </c>
      <c r="T394" t="s">
        <v>195</v>
      </c>
    </row>
    <row r="395" spans="1:20" x14ac:dyDescent="0.25">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t="s">
        <v>83</v>
      </c>
      <c r="T395" t="s">
        <v>96</v>
      </c>
    </row>
    <row r="396" spans="1:20" x14ac:dyDescent="0.25">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t="s">
        <v>430</v>
      </c>
      <c r="T396" t="s">
        <v>195</v>
      </c>
    </row>
    <row r="397" spans="1:20" x14ac:dyDescent="0.25">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t="s">
        <v>83</v>
      </c>
      <c r="T397" t="s">
        <v>113</v>
      </c>
    </row>
    <row r="398" spans="1:20" x14ac:dyDescent="0.25">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t="s">
        <v>123</v>
      </c>
      <c r="T398" t="s">
        <v>48</v>
      </c>
    </row>
    <row r="399" spans="1:20" x14ac:dyDescent="0.25">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t="s">
        <v>83</v>
      </c>
      <c r="T399" t="s">
        <v>253</v>
      </c>
    </row>
    <row r="400" spans="1:20" x14ac:dyDescent="0.25">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t="s">
        <v>123</v>
      </c>
      <c r="T400" t="s">
        <v>48</v>
      </c>
    </row>
    <row r="401" spans="1:20" x14ac:dyDescent="0.25">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t="s">
        <v>123</v>
      </c>
      <c r="T401" t="s">
        <v>297</v>
      </c>
    </row>
    <row r="402" spans="1:20" x14ac:dyDescent="0.25">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t="s">
        <v>58</v>
      </c>
      <c r="T402" t="s">
        <v>96</v>
      </c>
    </row>
    <row r="403" spans="1:20" x14ac:dyDescent="0.25">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t="s">
        <v>70</v>
      </c>
      <c r="T403" t="s">
        <v>253</v>
      </c>
    </row>
    <row r="404" spans="1:20" x14ac:dyDescent="0.25">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t="s">
        <v>83</v>
      </c>
      <c r="T404" t="s">
        <v>253</v>
      </c>
    </row>
    <row r="405" spans="1:20" x14ac:dyDescent="0.25">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t="s">
        <v>83</v>
      </c>
      <c r="T405" t="s">
        <v>253</v>
      </c>
    </row>
    <row r="406" spans="1:20" x14ac:dyDescent="0.25">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t="s">
        <v>70</v>
      </c>
      <c r="T406" t="s">
        <v>161</v>
      </c>
    </row>
    <row r="407" spans="1:20" x14ac:dyDescent="0.25">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t="s">
        <v>83</v>
      </c>
      <c r="T407" t="s">
        <v>71</v>
      </c>
    </row>
    <row r="408" spans="1:20" x14ac:dyDescent="0.25">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t="s">
        <v>83</v>
      </c>
      <c r="T408" t="s">
        <v>77</v>
      </c>
    </row>
    <row r="409" spans="1:20" x14ac:dyDescent="0.25">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t="s">
        <v>83</v>
      </c>
      <c r="T409" t="s">
        <v>77</v>
      </c>
    </row>
    <row r="410" spans="1:20" x14ac:dyDescent="0.25">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t="s">
        <v>83</v>
      </c>
      <c r="T410" t="s">
        <v>77</v>
      </c>
    </row>
    <row r="411" spans="1:20" x14ac:dyDescent="0.25">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t="s">
        <v>70</v>
      </c>
      <c r="T411" t="s">
        <v>48</v>
      </c>
    </row>
    <row r="412" spans="1:20" x14ac:dyDescent="0.25">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t="s">
        <v>430</v>
      </c>
      <c r="T412" t="s">
        <v>113</v>
      </c>
    </row>
    <row r="413" spans="1:20" x14ac:dyDescent="0.25">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t="s">
        <v>70</v>
      </c>
      <c r="T413" t="s">
        <v>34</v>
      </c>
    </row>
    <row r="414" spans="1:20" x14ac:dyDescent="0.25">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t="s">
        <v>83</v>
      </c>
      <c r="T414" t="s">
        <v>34</v>
      </c>
    </row>
    <row r="415" spans="1:20" x14ac:dyDescent="0.25">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t="s">
        <v>70</v>
      </c>
      <c r="T415" t="s">
        <v>96</v>
      </c>
    </row>
    <row r="416" spans="1:20" x14ac:dyDescent="0.25">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t="s">
        <v>33</v>
      </c>
      <c r="T416" t="s">
        <v>96</v>
      </c>
    </row>
    <row r="417" spans="1:20" x14ac:dyDescent="0.25">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t="s">
        <v>123</v>
      </c>
      <c r="T417" t="s">
        <v>253</v>
      </c>
    </row>
    <row r="418" spans="1:20" x14ac:dyDescent="0.25">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t="s">
        <v>58</v>
      </c>
      <c r="T418" t="s">
        <v>77</v>
      </c>
    </row>
    <row r="419" spans="1:20" x14ac:dyDescent="0.25">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t="s">
        <v>70</v>
      </c>
      <c r="T419" t="s">
        <v>77</v>
      </c>
    </row>
    <row r="420" spans="1:20" x14ac:dyDescent="0.25">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t="s">
        <v>70</v>
      </c>
      <c r="T420" t="s">
        <v>195</v>
      </c>
    </row>
    <row r="421" spans="1:20" x14ac:dyDescent="0.25">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t="s">
        <v>83</v>
      </c>
      <c r="T421" t="s">
        <v>77</v>
      </c>
    </row>
    <row r="422" spans="1:20" x14ac:dyDescent="0.25">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t="s">
        <v>58</v>
      </c>
      <c r="T422" t="s">
        <v>59</v>
      </c>
    </row>
    <row r="423" spans="1:20" x14ac:dyDescent="0.25">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t="s">
        <v>70</v>
      </c>
      <c r="T423" t="s">
        <v>71</v>
      </c>
    </row>
    <row r="424" spans="1:20" x14ac:dyDescent="0.25">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t="s">
        <v>70</v>
      </c>
      <c r="T424" t="s">
        <v>71</v>
      </c>
    </row>
    <row r="425" spans="1:20" x14ac:dyDescent="0.25">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t="s">
        <v>70</v>
      </c>
      <c r="T425" t="s">
        <v>71</v>
      </c>
    </row>
    <row r="426" spans="1:20" x14ac:dyDescent="0.25">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t="s">
        <v>129</v>
      </c>
      <c r="T426" t="s">
        <v>96</v>
      </c>
    </row>
    <row r="427" spans="1:20" x14ac:dyDescent="0.25">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t="s">
        <v>33</v>
      </c>
      <c r="T427" t="s">
        <v>96</v>
      </c>
    </row>
    <row r="428" spans="1:20" x14ac:dyDescent="0.25">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t="s">
        <v>33</v>
      </c>
      <c r="T428" t="s">
        <v>96</v>
      </c>
    </row>
    <row r="429" spans="1:20" x14ac:dyDescent="0.25">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t="s">
        <v>83</v>
      </c>
      <c r="T429" t="s">
        <v>48</v>
      </c>
    </row>
    <row r="430" spans="1:20" x14ac:dyDescent="0.25">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t="s">
        <v>129</v>
      </c>
      <c r="T430" t="s">
        <v>113</v>
      </c>
    </row>
    <row r="431" spans="1:20" x14ac:dyDescent="0.25">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t="s">
        <v>58</v>
      </c>
      <c r="T431" t="s">
        <v>34</v>
      </c>
    </row>
    <row r="432" spans="1:20" x14ac:dyDescent="0.25">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t="s">
        <v>83</v>
      </c>
      <c r="T432" t="s">
        <v>96</v>
      </c>
    </row>
    <row r="433" spans="1:20" x14ac:dyDescent="0.25">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t="s">
        <v>58</v>
      </c>
      <c r="T433" t="s">
        <v>96</v>
      </c>
    </row>
    <row r="434" spans="1:20" x14ac:dyDescent="0.25">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t="s">
        <v>83</v>
      </c>
      <c r="T434" t="s">
        <v>71</v>
      </c>
    </row>
    <row r="435" spans="1:20" x14ac:dyDescent="0.25">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t="s">
        <v>83</v>
      </c>
      <c r="T435" t="s">
        <v>34</v>
      </c>
    </row>
    <row r="436" spans="1:20" x14ac:dyDescent="0.25">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t="s">
        <v>430</v>
      </c>
      <c r="T436" t="s">
        <v>71</v>
      </c>
    </row>
    <row r="437" spans="1:20" x14ac:dyDescent="0.25">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t="s">
        <v>430</v>
      </c>
      <c r="T437" t="s">
        <v>48</v>
      </c>
    </row>
    <row r="438" spans="1:20" x14ac:dyDescent="0.25">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t="s">
        <v>430</v>
      </c>
      <c r="T438" t="s">
        <v>48</v>
      </c>
    </row>
    <row r="439" spans="1:20" x14ac:dyDescent="0.25">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t="s">
        <v>58</v>
      </c>
      <c r="T439" t="s">
        <v>48</v>
      </c>
    </row>
    <row r="440" spans="1:20" x14ac:dyDescent="0.25">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t="s">
        <v>70</v>
      </c>
      <c r="T440" t="s">
        <v>34</v>
      </c>
    </row>
    <row r="441" spans="1:20" x14ac:dyDescent="0.25">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t="s">
        <v>70</v>
      </c>
      <c r="T441" t="s">
        <v>77</v>
      </c>
    </row>
    <row r="442" spans="1:20" x14ac:dyDescent="0.25">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t="s">
        <v>58</v>
      </c>
      <c r="T442" t="s">
        <v>48</v>
      </c>
    </row>
    <row r="443" spans="1:20" x14ac:dyDescent="0.25">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t="s">
        <v>70</v>
      </c>
      <c r="T443" t="s">
        <v>161</v>
      </c>
    </row>
    <row r="444" spans="1:20" x14ac:dyDescent="0.25">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t="s">
        <v>58</v>
      </c>
      <c r="T444" t="s">
        <v>96</v>
      </c>
    </row>
    <row r="445" spans="1:20" x14ac:dyDescent="0.25">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t="s">
        <v>58</v>
      </c>
      <c r="T445" t="s">
        <v>59</v>
      </c>
    </row>
    <row r="446" spans="1:20" x14ac:dyDescent="0.25">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t="s">
        <v>83</v>
      </c>
      <c r="T446" t="s">
        <v>59</v>
      </c>
    </row>
    <row r="447" spans="1:20" x14ac:dyDescent="0.25">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t="s">
        <v>58</v>
      </c>
      <c r="T447" t="s">
        <v>96</v>
      </c>
    </row>
    <row r="448" spans="1:20" x14ac:dyDescent="0.25">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t="s">
        <v>47</v>
      </c>
      <c r="T448" t="s">
        <v>34</v>
      </c>
    </row>
    <row r="449" spans="1:20" x14ac:dyDescent="0.25">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t="s">
        <v>58</v>
      </c>
      <c r="T449" t="s">
        <v>113</v>
      </c>
    </row>
    <row r="450" spans="1:20" x14ac:dyDescent="0.25">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t="s">
        <v>430</v>
      </c>
      <c r="T450" t="s">
        <v>161</v>
      </c>
    </row>
    <row r="451" spans="1:20" x14ac:dyDescent="0.25">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t="s">
        <v>129</v>
      </c>
      <c r="T451" t="s">
        <v>48</v>
      </c>
    </row>
    <row r="452" spans="1:20" x14ac:dyDescent="0.25">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t="s">
        <v>129</v>
      </c>
      <c r="T452" t="s">
        <v>34</v>
      </c>
    </row>
    <row r="453" spans="1:20" x14ac:dyDescent="0.25">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t="s">
        <v>83</v>
      </c>
      <c r="T453" t="s">
        <v>161</v>
      </c>
    </row>
    <row r="454" spans="1:20" x14ac:dyDescent="0.25">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t="s">
        <v>83</v>
      </c>
      <c r="T454" t="s">
        <v>161</v>
      </c>
    </row>
    <row r="455" spans="1:20" x14ac:dyDescent="0.25">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t="s">
        <v>58</v>
      </c>
      <c r="T455" t="s">
        <v>253</v>
      </c>
    </row>
    <row r="456" spans="1:20" x14ac:dyDescent="0.25">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t="s">
        <v>58</v>
      </c>
      <c r="T456" t="s">
        <v>59</v>
      </c>
    </row>
    <row r="457" spans="1:20" x14ac:dyDescent="0.25">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t="s">
        <v>129</v>
      </c>
      <c r="T457" t="s">
        <v>77</v>
      </c>
    </row>
    <row r="458" spans="1:20" x14ac:dyDescent="0.25">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t="s">
        <v>129</v>
      </c>
      <c r="T458" t="s">
        <v>59</v>
      </c>
    </row>
    <row r="459" spans="1:20" x14ac:dyDescent="0.25">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t="s">
        <v>83</v>
      </c>
      <c r="T459" t="s">
        <v>34</v>
      </c>
    </row>
    <row r="460" spans="1:20" x14ac:dyDescent="0.25">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t="s">
        <v>123</v>
      </c>
      <c r="T460" t="s">
        <v>48</v>
      </c>
    </row>
    <row r="461" spans="1:20" x14ac:dyDescent="0.25">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t="s">
        <v>430</v>
      </c>
      <c r="T461" t="s">
        <v>96</v>
      </c>
    </row>
    <row r="462" spans="1:20" x14ac:dyDescent="0.25">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t="s">
        <v>70</v>
      </c>
      <c r="T462" t="s">
        <v>195</v>
      </c>
    </row>
    <row r="463" spans="1:20" x14ac:dyDescent="0.25">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t="s">
        <v>83</v>
      </c>
      <c r="T463" t="s">
        <v>48</v>
      </c>
    </row>
    <row r="464" spans="1:20" x14ac:dyDescent="0.25">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t="s">
        <v>58</v>
      </c>
      <c r="T464" t="s">
        <v>59</v>
      </c>
    </row>
    <row r="465" spans="1:20" x14ac:dyDescent="0.25">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t="s">
        <v>129</v>
      </c>
      <c r="T465" t="s">
        <v>113</v>
      </c>
    </row>
    <row r="466" spans="1:20" x14ac:dyDescent="0.25">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t="s">
        <v>58</v>
      </c>
      <c r="T466" t="s">
        <v>77</v>
      </c>
    </row>
    <row r="467" spans="1:20" x14ac:dyDescent="0.25">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t="s">
        <v>33</v>
      </c>
      <c r="T467" t="s">
        <v>59</v>
      </c>
    </row>
    <row r="468" spans="1:20" x14ac:dyDescent="0.25">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t="s">
        <v>33</v>
      </c>
      <c r="T468" t="s">
        <v>297</v>
      </c>
    </row>
    <row r="469" spans="1:20" x14ac:dyDescent="0.25">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t="s">
        <v>58</v>
      </c>
      <c r="T469" t="s">
        <v>195</v>
      </c>
    </row>
    <row r="470" spans="1:20" x14ac:dyDescent="0.25">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t="s">
        <v>58</v>
      </c>
      <c r="T470" t="s">
        <v>48</v>
      </c>
    </row>
    <row r="471" spans="1:20" x14ac:dyDescent="0.25">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t="s">
        <v>58</v>
      </c>
      <c r="T471" t="s">
        <v>48</v>
      </c>
    </row>
    <row r="472" spans="1:20" x14ac:dyDescent="0.25">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t="s">
        <v>83</v>
      </c>
      <c r="T472" t="s">
        <v>59</v>
      </c>
    </row>
    <row r="473" spans="1:20" x14ac:dyDescent="0.25">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t="s">
        <v>33</v>
      </c>
      <c r="T473" t="s">
        <v>48</v>
      </c>
    </row>
    <row r="474" spans="1:20" x14ac:dyDescent="0.25">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t="s">
        <v>33</v>
      </c>
      <c r="T474" t="s">
        <v>48</v>
      </c>
    </row>
    <row r="475" spans="1:20" x14ac:dyDescent="0.25">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t="s">
        <v>33</v>
      </c>
      <c r="T475" t="s">
        <v>48</v>
      </c>
    </row>
    <row r="476" spans="1:20" x14ac:dyDescent="0.25">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t="s">
        <v>33</v>
      </c>
      <c r="T476" t="s">
        <v>169</v>
      </c>
    </row>
    <row r="477" spans="1:20" x14ac:dyDescent="0.25">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t="s">
        <v>58</v>
      </c>
      <c r="T477" t="s">
        <v>113</v>
      </c>
    </row>
    <row r="478" spans="1:20" x14ac:dyDescent="0.25">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t="s">
        <v>83</v>
      </c>
      <c r="T478" t="s">
        <v>96</v>
      </c>
    </row>
    <row r="479" spans="1:20" x14ac:dyDescent="0.25">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t="s">
        <v>83</v>
      </c>
      <c r="T479" t="s">
        <v>34</v>
      </c>
    </row>
    <row r="480" spans="1:20" x14ac:dyDescent="0.25">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t="s">
        <v>58</v>
      </c>
      <c r="T480" t="s">
        <v>77</v>
      </c>
    </row>
    <row r="481" spans="1:20" x14ac:dyDescent="0.25">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t="s">
        <v>123</v>
      </c>
      <c r="T481" t="s">
        <v>96</v>
      </c>
    </row>
    <row r="482" spans="1:20" x14ac:dyDescent="0.25">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t="s">
        <v>123</v>
      </c>
      <c r="T482" t="s">
        <v>59</v>
      </c>
    </row>
    <row r="483" spans="1:20" x14ac:dyDescent="0.25">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t="s">
        <v>58</v>
      </c>
      <c r="T483" t="s">
        <v>71</v>
      </c>
    </row>
    <row r="484" spans="1:20" x14ac:dyDescent="0.25">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t="s">
        <v>83</v>
      </c>
      <c r="T484" t="s">
        <v>77</v>
      </c>
    </row>
    <row r="485" spans="1:20" x14ac:dyDescent="0.25">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t="s">
        <v>83</v>
      </c>
      <c r="T485" t="s">
        <v>96</v>
      </c>
    </row>
    <row r="486" spans="1:20" x14ac:dyDescent="0.25">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t="s">
        <v>33</v>
      </c>
      <c r="T486" t="s">
        <v>96</v>
      </c>
    </row>
    <row r="487" spans="1:20" x14ac:dyDescent="0.25">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t="s">
        <v>58</v>
      </c>
      <c r="T487" t="s">
        <v>195</v>
      </c>
    </row>
    <row r="488" spans="1:20" x14ac:dyDescent="0.25">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t="s">
        <v>70</v>
      </c>
      <c r="T488" t="s">
        <v>253</v>
      </c>
    </row>
    <row r="489" spans="1:20" x14ac:dyDescent="0.25">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t="s">
        <v>83</v>
      </c>
      <c r="T489" t="s">
        <v>195</v>
      </c>
    </row>
    <row r="490" spans="1:20" x14ac:dyDescent="0.25">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t="s">
        <v>83</v>
      </c>
      <c r="T490" t="s">
        <v>195</v>
      </c>
    </row>
    <row r="491" spans="1:20" x14ac:dyDescent="0.25">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t="s">
        <v>83</v>
      </c>
      <c r="T491" t="s">
        <v>195</v>
      </c>
    </row>
    <row r="492" spans="1:20" x14ac:dyDescent="0.25">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t="s">
        <v>58</v>
      </c>
      <c r="T492" t="s">
        <v>195</v>
      </c>
    </row>
    <row r="493" spans="1:20" x14ac:dyDescent="0.25">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t="s">
        <v>70</v>
      </c>
      <c r="T493" t="s">
        <v>34</v>
      </c>
    </row>
    <row r="494" spans="1:20" x14ac:dyDescent="0.25">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t="s">
        <v>83</v>
      </c>
      <c r="T494" t="s">
        <v>77</v>
      </c>
    </row>
    <row r="495" spans="1:20" x14ac:dyDescent="0.25">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t="s">
        <v>83</v>
      </c>
      <c r="T495" t="s">
        <v>71</v>
      </c>
    </row>
    <row r="496" spans="1:20" x14ac:dyDescent="0.25">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t="s">
        <v>83</v>
      </c>
      <c r="T496" t="s">
        <v>71</v>
      </c>
    </row>
    <row r="497" spans="1:20" x14ac:dyDescent="0.25">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t="s">
        <v>83</v>
      </c>
      <c r="T497" t="s">
        <v>161</v>
      </c>
    </row>
    <row r="498" spans="1:20" x14ac:dyDescent="0.25">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t="s">
        <v>83</v>
      </c>
      <c r="T498" t="s">
        <v>96</v>
      </c>
    </row>
    <row r="499" spans="1:20" x14ac:dyDescent="0.25">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t="s">
        <v>129</v>
      </c>
      <c r="T499" t="s">
        <v>77</v>
      </c>
    </row>
    <row r="500" spans="1:20" x14ac:dyDescent="0.25">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t="s">
        <v>70</v>
      </c>
      <c r="T500" t="s">
        <v>195</v>
      </c>
    </row>
    <row r="501" spans="1:20" x14ac:dyDescent="0.25">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t="s">
        <v>83</v>
      </c>
      <c r="T501" t="s">
        <v>34</v>
      </c>
    </row>
    <row r="502" spans="1:20" x14ac:dyDescent="0.25">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t="s">
        <v>83</v>
      </c>
      <c r="T502" t="s">
        <v>96</v>
      </c>
    </row>
    <row r="503" spans="1:20" x14ac:dyDescent="0.25">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t="s">
        <v>58</v>
      </c>
      <c r="T503" t="s">
        <v>71</v>
      </c>
    </row>
    <row r="504" spans="1:20" x14ac:dyDescent="0.25">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t="s">
        <v>58</v>
      </c>
      <c r="T504" t="s">
        <v>96</v>
      </c>
    </row>
    <row r="505" spans="1:20" x14ac:dyDescent="0.25">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t="s">
        <v>129</v>
      </c>
      <c r="T505" t="s">
        <v>59</v>
      </c>
    </row>
    <row r="506" spans="1:20" x14ac:dyDescent="0.25">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t="s">
        <v>58</v>
      </c>
      <c r="T506" t="s">
        <v>96</v>
      </c>
    </row>
    <row r="507" spans="1:20" x14ac:dyDescent="0.25">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t="s">
        <v>47</v>
      </c>
      <c r="T507" t="s">
        <v>195</v>
      </c>
    </row>
    <row r="508" spans="1:20" x14ac:dyDescent="0.25">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t="s">
        <v>47</v>
      </c>
      <c r="T508" t="s">
        <v>71</v>
      </c>
    </row>
    <row r="509" spans="1:20" x14ac:dyDescent="0.25">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t="s">
        <v>70</v>
      </c>
      <c r="T509" t="s">
        <v>34</v>
      </c>
    </row>
    <row r="510" spans="1:20" x14ac:dyDescent="0.25">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t="s">
        <v>58</v>
      </c>
      <c r="T510" t="s">
        <v>71</v>
      </c>
    </row>
    <row r="511" spans="1:20" x14ac:dyDescent="0.25">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t="s">
        <v>58</v>
      </c>
      <c r="T511" t="s">
        <v>161</v>
      </c>
    </row>
    <row r="512" spans="1:20" x14ac:dyDescent="0.25">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t="s">
        <v>129</v>
      </c>
      <c r="T512" t="s">
        <v>48</v>
      </c>
    </row>
    <row r="513" spans="1:20" x14ac:dyDescent="0.25">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t="s">
        <v>129</v>
      </c>
      <c r="T513" t="s">
        <v>169</v>
      </c>
    </row>
    <row r="514" spans="1:20" x14ac:dyDescent="0.25">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t="s">
        <v>129</v>
      </c>
      <c r="T514" t="s">
        <v>169</v>
      </c>
    </row>
    <row r="515" spans="1:20" x14ac:dyDescent="0.25">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t="s">
        <v>33</v>
      </c>
      <c r="T515" t="s">
        <v>34</v>
      </c>
    </row>
    <row r="516" spans="1:20" x14ac:dyDescent="0.25">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t="s">
        <v>83</v>
      </c>
      <c r="T516" t="s">
        <v>77</v>
      </c>
    </row>
    <row r="517" spans="1:20" x14ac:dyDescent="0.25">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t="s">
        <v>129</v>
      </c>
      <c r="T517" t="s">
        <v>253</v>
      </c>
    </row>
    <row r="518" spans="1:20" x14ac:dyDescent="0.25">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t="s">
        <v>83</v>
      </c>
      <c r="T518" t="s">
        <v>77</v>
      </c>
    </row>
    <row r="519" spans="1:20" x14ac:dyDescent="0.25">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t="s">
        <v>129</v>
      </c>
      <c r="T519" t="s">
        <v>59</v>
      </c>
    </row>
    <row r="520" spans="1:20" x14ac:dyDescent="0.25">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t="s">
        <v>70</v>
      </c>
      <c r="T520" t="s">
        <v>71</v>
      </c>
    </row>
    <row r="521" spans="1:20" x14ac:dyDescent="0.25">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t="s">
        <v>129</v>
      </c>
      <c r="T521" t="s">
        <v>34</v>
      </c>
    </row>
    <row r="522" spans="1:20" x14ac:dyDescent="0.25">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t="s">
        <v>58</v>
      </c>
      <c r="T522" t="s">
        <v>161</v>
      </c>
    </row>
    <row r="523" spans="1:20" x14ac:dyDescent="0.25">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t="s">
        <v>70</v>
      </c>
      <c r="T523" t="s">
        <v>169</v>
      </c>
    </row>
    <row r="524" spans="1:20" x14ac:dyDescent="0.25">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t="s">
        <v>430</v>
      </c>
      <c r="T524" t="s">
        <v>71</v>
      </c>
    </row>
    <row r="525" spans="1:20" x14ac:dyDescent="0.25">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t="s">
        <v>430</v>
      </c>
      <c r="T525" t="s">
        <v>71</v>
      </c>
    </row>
    <row r="526" spans="1:20" x14ac:dyDescent="0.25">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t="s">
        <v>83</v>
      </c>
      <c r="T526" t="s">
        <v>113</v>
      </c>
    </row>
    <row r="527" spans="1:20" x14ac:dyDescent="0.25">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t="s">
        <v>129</v>
      </c>
      <c r="T527" t="s">
        <v>77</v>
      </c>
    </row>
    <row r="528" spans="1:20" x14ac:dyDescent="0.25">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t="s">
        <v>83</v>
      </c>
      <c r="T528" t="s">
        <v>113</v>
      </c>
    </row>
    <row r="529" spans="1:20" x14ac:dyDescent="0.25">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t="s">
        <v>83</v>
      </c>
      <c r="T529" t="s">
        <v>34</v>
      </c>
    </row>
    <row r="530" spans="1:20" x14ac:dyDescent="0.25">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t="s">
        <v>129</v>
      </c>
      <c r="T530" t="s">
        <v>48</v>
      </c>
    </row>
    <row r="531" spans="1:20" x14ac:dyDescent="0.25">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t="s">
        <v>83</v>
      </c>
      <c r="T531" t="s">
        <v>161</v>
      </c>
    </row>
    <row r="532" spans="1:20" x14ac:dyDescent="0.25">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t="s">
        <v>70</v>
      </c>
      <c r="T532" t="s">
        <v>34</v>
      </c>
    </row>
    <row r="533" spans="1:20" x14ac:dyDescent="0.25">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t="s">
        <v>58</v>
      </c>
      <c r="T533" t="s">
        <v>71</v>
      </c>
    </row>
    <row r="534" spans="1:20" x14ac:dyDescent="0.25">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t="s">
        <v>58</v>
      </c>
      <c r="T534" t="s">
        <v>169</v>
      </c>
    </row>
    <row r="535" spans="1:20" x14ac:dyDescent="0.25">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t="s">
        <v>58</v>
      </c>
      <c r="T535" t="s">
        <v>169</v>
      </c>
    </row>
    <row r="536" spans="1:20" x14ac:dyDescent="0.25">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t="s">
        <v>129</v>
      </c>
      <c r="T536" t="s">
        <v>59</v>
      </c>
    </row>
    <row r="537" spans="1:20" x14ac:dyDescent="0.25">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t="s">
        <v>129</v>
      </c>
      <c r="T537" t="s">
        <v>77</v>
      </c>
    </row>
    <row r="538" spans="1:20" x14ac:dyDescent="0.25">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t="s">
        <v>129</v>
      </c>
      <c r="T538" t="s">
        <v>77</v>
      </c>
    </row>
    <row r="539" spans="1:20" x14ac:dyDescent="0.25">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t="s">
        <v>430</v>
      </c>
      <c r="T539" t="s">
        <v>59</v>
      </c>
    </row>
    <row r="540" spans="1:20" x14ac:dyDescent="0.25">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t="s">
        <v>430</v>
      </c>
      <c r="T540" t="s">
        <v>59</v>
      </c>
    </row>
    <row r="541" spans="1:20" x14ac:dyDescent="0.25">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t="s">
        <v>58</v>
      </c>
      <c r="T541" t="s">
        <v>34</v>
      </c>
    </row>
    <row r="542" spans="1:20" x14ac:dyDescent="0.25">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t="s">
        <v>58</v>
      </c>
      <c r="T542" t="s">
        <v>34</v>
      </c>
    </row>
    <row r="543" spans="1:20" x14ac:dyDescent="0.25">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t="s">
        <v>47</v>
      </c>
      <c r="T543" t="s">
        <v>113</v>
      </c>
    </row>
    <row r="544" spans="1:20" x14ac:dyDescent="0.25">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t="s">
        <v>47</v>
      </c>
      <c r="T544" t="s">
        <v>113</v>
      </c>
    </row>
    <row r="545" spans="1:20" x14ac:dyDescent="0.25">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t="s">
        <v>58</v>
      </c>
      <c r="T545" t="s">
        <v>161</v>
      </c>
    </row>
    <row r="546" spans="1:20" x14ac:dyDescent="0.25">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t="s">
        <v>58</v>
      </c>
      <c r="T546" t="s">
        <v>161</v>
      </c>
    </row>
    <row r="547" spans="1:20" x14ac:dyDescent="0.25">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t="s">
        <v>58</v>
      </c>
      <c r="T547" t="s">
        <v>161</v>
      </c>
    </row>
    <row r="548" spans="1:20" x14ac:dyDescent="0.25">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t="s">
        <v>58</v>
      </c>
      <c r="T548" t="s">
        <v>71</v>
      </c>
    </row>
    <row r="549" spans="1:20" x14ac:dyDescent="0.25">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t="s">
        <v>129</v>
      </c>
      <c r="T549" t="s">
        <v>59</v>
      </c>
    </row>
    <row r="550" spans="1:20" x14ac:dyDescent="0.25">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t="s">
        <v>83</v>
      </c>
      <c r="T550" t="s">
        <v>113</v>
      </c>
    </row>
    <row r="551" spans="1:20" x14ac:dyDescent="0.25">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t="s">
        <v>58</v>
      </c>
      <c r="T551" t="s">
        <v>77</v>
      </c>
    </row>
    <row r="552" spans="1:20" x14ac:dyDescent="0.25">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t="s">
        <v>58</v>
      </c>
      <c r="T552" t="s">
        <v>77</v>
      </c>
    </row>
    <row r="553" spans="1:20" x14ac:dyDescent="0.25">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t="s">
        <v>58</v>
      </c>
      <c r="T553" t="s">
        <v>77</v>
      </c>
    </row>
    <row r="554" spans="1:20" x14ac:dyDescent="0.25">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t="s">
        <v>83</v>
      </c>
      <c r="T554" t="s">
        <v>77</v>
      </c>
    </row>
    <row r="555" spans="1:20" x14ac:dyDescent="0.25">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t="s">
        <v>83</v>
      </c>
      <c r="T555" t="s">
        <v>96</v>
      </c>
    </row>
    <row r="556" spans="1:20" x14ac:dyDescent="0.25">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t="s">
        <v>33</v>
      </c>
      <c r="T556" t="s">
        <v>161</v>
      </c>
    </row>
    <row r="557" spans="1:20" x14ac:dyDescent="0.25">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t="s">
        <v>58</v>
      </c>
      <c r="T557" t="s">
        <v>253</v>
      </c>
    </row>
    <row r="558" spans="1:20" x14ac:dyDescent="0.25">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t="s">
        <v>33</v>
      </c>
      <c r="T558" t="s">
        <v>77</v>
      </c>
    </row>
    <row r="559" spans="1:20" x14ac:dyDescent="0.25">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t="s">
        <v>129</v>
      </c>
      <c r="T559" t="s">
        <v>169</v>
      </c>
    </row>
    <row r="560" spans="1:20" x14ac:dyDescent="0.25">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t="s">
        <v>58</v>
      </c>
      <c r="T560" t="s">
        <v>48</v>
      </c>
    </row>
    <row r="561" spans="1:20" x14ac:dyDescent="0.25">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t="s">
        <v>58</v>
      </c>
      <c r="T561" t="s">
        <v>195</v>
      </c>
    </row>
    <row r="562" spans="1:20" x14ac:dyDescent="0.25">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t="s">
        <v>58</v>
      </c>
      <c r="T562" t="s">
        <v>195</v>
      </c>
    </row>
    <row r="563" spans="1:20" x14ac:dyDescent="0.25">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t="s">
        <v>47</v>
      </c>
      <c r="T563" t="s">
        <v>169</v>
      </c>
    </row>
    <row r="564" spans="1:20" x14ac:dyDescent="0.25">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t="s">
        <v>70</v>
      </c>
      <c r="T564" t="s">
        <v>48</v>
      </c>
    </row>
    <row r="565" spans="1:20" x14ac:dyDescent="0.25">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t="s">
        <v>70</v>
      </c>
      <c r="T565" t="s">
        <v>96</v>
      </c>
    </row>
    <row r="566" spans="1:20" x14ac:dyDescent="0.25">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t="s">
        <v>129</v>
      </c>
      <c r="T566" t="s">
        <v>34</v>
      </c>
    </row>
    <row r="567" spans="1:20" x14ac:dyDescent="0.25">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t="s">
        <v>129</v>
      </c>
      <c r="T567" t="s">
        <v>297</v>
      </c>
    </row>
    <row r="568" spans="1:20" x14ac:dyDescent="0.25">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t="s">
        <v>129</v>
      </c>
      <c r="T568" t="s">
        <v>34</v>
      </c>
    </row>
    <row r="569" spans="1:20" x14ac:dyDescent="0.25">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t="s">
        <v>83</v>
      </c>
      <c r="T569" t="s">
        <v>34</v>
      </c>
    </row>
    <row r="570" spans="1:20" x14ac:dyDescent="0.25">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t="s">
        <v>58</v>
      </c>
      <c r="T570" t="s">
        <v>59</v>
      </c>
    </row>
    <row r="571" spans="1:20" x14ac:dyDescent="0.25">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t="s">
        <v>58</v>
      </c>
      <c r="T571" t="s">
        <v>161</v>
      </c>
    </row>
    <row r="572" spans="1:20" x14ac:dyDescent="0.25">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t="s">
        <v>129</v>
      </c>
      <c r="T572" t="s">
        <v>59</v>
      </c>
    </row>
    <row r="573" spans="1:20" x14ac:dyDescent="0.25">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t="s">
        <v>83</v>
      </c>
      <c r="T573" t="s">
        <v>161</v>
      </c>
    </row>
    <row r="574" spans="1:20" x14ac:dyDescent="0.25">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t="s">
        <v>83</v>
      </c>
      <c r="T574" t="s">
        <v>195</v>
      </c>
    </row>
    <row r="575" spans="1:20" x14ac:dyDescent="0.25">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t="s">
        <v>70</v>
      </c>
      <c r="T575" t="s">
        <v>96</v>
      </c>
    </row>
    <row r="576" spans="1:20" x14ac:dyDescent="0.25">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t="s">
        <v>70</v>
      </c>
      <c r="T576" t="s">
        <v>71</v>
      </c>
    </row>
    <row r="577" spans="1:20" x14ac:dyDescent="0.25">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t="s">
        <v>58</v>
      </c>
      <c r="T577" t="s">
        <v>113</v>
      </c>
    </row>
    <row r="578" spans="1:20" x14ac:dyDescent="0.25">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t="s">
        <v>70</v>
      </c>
      <c r="T578" t="s">
        <v>77</v>
      </c>
    </row>
    <row r="579" spans="1:20" x14ac:dyDescent="0.25">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t="s">
        <v>83</v>
      </c>
      <c r="T579" t="s">
        <v>96</v>
      </c>
    </row>
    <row r="580" spans="1:20" x14ac:dyDescent="0.25">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t="s">
        <v>83</v>
      </c>
      <c r="T580" t="s">
        <v>96</v>
      </c>
    </row>
    <row r="581" spans="1:20" x14ac:dyDescent="0.25">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t="s">
        <v>58</v>
      </c>
      <c r="T581" t="s">
        <v>113</v>
      </c>
    </row>
    <row r="582" spans="1:20" x14ac:dyDescent="0.25">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t="s">
        <v>58</v>
      </c>
      <c r="T582" t="s">
        <v>34</v>
      </c>
    </row>
    <row r="583" spans="1:20" x14ac:dyDescent="0.25">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t="s">
        <v>83</v>
      </c>
      <c r="T583" t="s">
        <v>77</v>
      </c>
    </row>
    <row r="584" spans="1:20" x14ac:dyDescent="0.25">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t="s">
        <v>70</v>
      </c>
      <c r="T584" t="s">
        <v>71</v>
      </c>
    </row>
    <row r="585" spans="1:20" x14ac:dyDescent="0.25">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t="s">
        <v>70</v>
      </c>
      <c r="T585" t="s">
        <v>71</v>
      </c>
    </row>
    <row r="586" spans="1:20" x14ac:dyDescent="0.25">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t="s">
        <v>70</v>
      </c>
      <c r="T586" t="s">
        <v>34</v>
      </c>
    </row>
    <row r="587" spans="1:20" x14ac:dyDescent="0.25">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t="s">
        <v>70</v>
      </c>
      <c r="T587" t="s">
        <v>34</v>
      </c>
    </row>
    <row r="588" spans="1:20" x14ac:dyDescent="0.25">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t="s">
        <v>70</v>
      </c>
      <c r="T588" t="s">
        <v>34</v>
      </c>
    </row>
    <row r="589" spans="1:20" x14ac:dyDescent="0.25">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t="s">
        <v>47</v>
      </c>
      <c r="T589" t="s">
        <v>77</v>
      </c>
    </row>
    <row r="590" spans="1:20" x14ac:dyDescent="0.25">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t="s">
        <v>47</v>
      </c>
      <c r="T590" t="s">
        <v>77</v>
      </c>
    </row>
    <row r="591" spans="1:20" x14ac:dyDescent="0.25">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t="s">
        <v>33</v>
      </c>
      <c r="T591" t="s">
        <v>161</v>
      </c>
    </row>
    <row r="592" spans="1:20" x14ac:dyDescent="0.25">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t="s">
        <v>58</v>
      </c>
      <c r="T592" t="s">
        <v>77</v>
      </c>
    </row>
    <row r="593" spans="1:20" x14ac:dyDescent="0.25">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t="s">
        <v>58</v>
      </c>
      <c r="T593" t="s">
        <v>195</v>
      </c>
    </row>
    <row r="594" spans="1:20" x14ac:dyDescent="0.25">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t="s">
        <v>83</v>
      </c>
      <c r="T594" t="s">
        <v>96</v>
      </c>
    </row>
    <row r="595" spans="1:20" x14ac:dyDescent="0.25">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t="s">
        <v>47</v>
      </c>
      <c r="T595" t="s">
        <v>113</v>
      </c>
    </row>
    <row r="596" spans="1:20" x14ac:dyDescent="0.25">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t="s">
        <v>70</v>
      </c>
      <c r="T596" t="s">
        <v>195</v>
      </c>
    </row>
    <row r="597" spans="1:20" x14ac:dyDescent="0.25">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t="s">
        <v>70</v>
      </c>
      <c r="T597" t="s">
        <v>195</v>
      </c>
    </row>
    <row r="598" spans="1:20" x14ac:dyDescent="0.25">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t="s">
        <v>33</v>
      </c>
      <c r="T598" t="s">
        <v>253</v>
      </c>
    </row>
    <row r="599" spans="1:20" x14ac:dyDescent="0.25">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t="s">
        <v>70</v>
      </c>
      <c r="T599" t="s">
        <v>253</v>
      </c>
    </row>
    <row r="600" spans="1:20" x14ac:dyDescent="0.25">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t="s">
        <v>83</v>
      </c>
      <c r="T600" t="s">
        <v>161</v>
      </c>
    </row>
    <row r="601" spans="1:20" x14ac:dyDescent="0.25">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t="s">
        <v>47</v>
      </c>
      <c r="T601" t="s">
        <v>59</v>
      </c>
    </row>
    <row r="602" spans="1:20" x14ac:dyDescent="0.25">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t="s">
        <v>83</v>
      </c>
      <c r="T602" t="s">
        <v>195</v>
      </c>
    </row>
    <row r="603" spans="1:20" x14ac:dyDescent="0.25">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t="s">
        <v>70</v>
      </c>
      <c r="T603" t="s">
        <v>169</v>
      </c>
    </row>
    <row r="604" spans="1:20" x14ac:dyDescent="0.25">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t="s">
        <v>70</v>
      </c>
      <c r="T604" t="s">
        <v>169</v>
      </c>
    </row>
    <row r="605" spans="1:20" x14ac:dyDescent="0.25">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t="s">
        <v>58</v>
      </c>
      <c r="T605" t="s">
        <v>34</v>
      </c>
    </row>
    <row r="606" spans="1:20" x14ac:dyDescent="0.25">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t="s">
        <v>83</v>
      </c>
      <c r="T606" t="s">
        <v>48</v>
      </c>
    </row>
    <row r="607" spans="1:20" x14ac:dyDescent="0.25">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t="s">
        <v>70</v>
      </c>
      <c r="T607" t="s">
        <v>113</v>
      </c>
    </row>
    <row r="608" spans="1:20" x14ac:dyDescent="0.25">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t="s">
        <v>129</v>
      </c>
      <c r="T608" t="s">
        <v>48</v>
      </c>
    </row>
    <row r="609" spans="1:20" x14ac:dyDescent="0.25">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t="s">
        <v>83</v>
      </c>
      <c r="T609" t="s">
        <v>113</v>
      </c>
    </row>
    <row r="610" spans="1:20" x14ac:dyDescent="0.25">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t="s">
        <v>83</v>
      </c>
      <c r="T610" t="s">
        <v>59</v>
      </c>
    </row>
    <row r="611" spans="1:20" x14ac:dyDescent="0.25">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t="s">
        <v>430</v>
      </c>
      <c r="T611" t="s">
        <v>34</v>
      </c>
    </row>
    <row r="612" spans="1:20" x14ac:dyDescent="0.25">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t="s">
        <v>430</v>
      </c>
      <c r="T612" t="s">
        <v>34</v>
      </c>
    </row>
    <row r="613" spans="1:20" x14ac:dyDescent="0.25">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t="s">
        <v>33</v>
      </c>
      <c r="T613" t="s">
        <v>77</v>
      </c>
    </row>
    <row r="614" spans="1:20" x14ac:dyDescent="0.25">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t="s">
        <v>83</v>
      </c>
      <c r="T614" t="s">
        <v>71</v>
      </c>
    </row>
    <row r="615" spans="1:20" x14ac:dyDescent="0.25">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t="s">
        <v>129</v>
      </c>
      <c r="T615" t="s">
        <v>34</v>
      </c>
    </row>
    <row r="616" spans="1:20" x14ac:dyDescent="0.25">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t="s">
        <v>430</v>
      </c>
      <c r="T616" t="s">
        <v>253</v>
      </c>
    </row>
    <row r="617" spans="1:20" x14ac:dyDescent="0.25">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t="s">
        <v>129</v>
      </c>
      <c r="T617" t="s">
        <v>195</v>
      </c>
    </row>
    <row r="618" spans="1:20" x14ac:dyDescent="0.25">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t="s">
        <v>129</v>
      </c>
      <c r="T618" t="s">
        <v>195</v>
      </c>
    </row>
    <row r="619" spans="1:20" x14ac:dyDescent="0.25">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t="s">
        <v>129</v>
      </c>
      <c r="T619" t="s">
        <v>195</v>
      </c>
    </row>
    <row r="620" spans="1:20" x14ac:dyDescent="0.25">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t="s">
        <v>58</v>
      </c>
      <c r="T620" t="s">
        <v>34</v>
      </c>
    </row>
    <row r="621" spans="1:20" x14ac:dyDescent="0.25">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t="s">
        <v>123</v>
      </c>
      <c r="T621" t="s">
        <v>34</v>
      </c>
    </row>
    <row r="622" spans="1:20" x14ac:dyDescent="0.25">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t="s">
        <v>83</v>
      </c>
      <c r="T622" t="s">
        <v>96</v>
      </c>
    </row>
    <row r="623" spans="1:20" x14ac:dyDescent="0.25">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t="s">
        <v>430</v>
      </c>
      <c r="T623" t="s">
        <v>34</v>
      </c>
    </row>
    <row r="624" spans="1:20" x14ac:dyDescent="0.25">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t="s">
        <v>430</v>
      </c>
      <c r="T624" t="s">
        <v>34</v>
      </c>
    </row>
    <row r="625" spans="1:20" x14ac:dyDescent="0.25">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t="s">
        <v>47</v>
      </c>
      <c r="T625" t="s">
        <v>59</v>
      </c>
    </row>
    <row r="626" spans="1:20" x14ac:dyDescent="0.25">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t="s">
        <v>58</v>
      </c>
      <c r="T626" t="s">
        <v>96</v>
      </c>
    </row>
    <row r="627" spans="1:20" x14ac:dyDescent="0.25">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t="s">
        <v>58</v>
      </c>
      <c r="T627" t="s">
        <v>96</v>
      </c>
    </row>
    <row r="628" spans="1:20" x14ac:dyDescent="0.25">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t="s">
        <v>58</v>
      </c>
      <c r="T628" t="s">
        <v>96</v>
      </c>
    </row>
    <row r="629" spans="1:20" x14ac:dyDescent="0.25">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t="s">
        <v>83</v>
      </c>
      <c r="T629" t="s">
        <v>96</v>
      </c>
    </row>
    <row r="630" spans="1:20" x14ac:dyDescent="0.25">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t="s">
        <v>33</v>
      </c>
      <c r="T630" t="s">
        <v>34</v>
      </c>
    </row>
    <row r="631" spans="1:20" x14ac:dyDescent="0.25">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t="s">
        <v>58</v>
      </c>
      <c r="T631" t="s">
        <v>161</v>
      </c>
    </row>
    <row r="632" spans="1:20" x14ac:dyDescent="0.25">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t="s">
        <v>430</v>
      </c>
      <c r="T632" t="s">
        <v>96</v>
      </c>
    </row>
    <row r="633" spans="1:20" x14ac:dyDescent="0.25">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t="s">
        <v>33</v>
      </c>
      <c r="T633" t="s">
        <v>169</v>
      </c>
    </row>
    <row r="634" spans="1:20" x14ac:dyDescent="0.25">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t="s">
        <v>58</v>
      </c>
      <c r="T634" t="s">
        <v>59</v>
      </c>
    </row>
    <row r="635" spans="1:20" x14ac:dyDescent="0.25">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t="s">
        <v>129</v>
      </c>
      <c r="T635" t="s">
        <v>71</v>
      </c>
    </row>
    <row r="636" spans="1:20" x14ac:dyDescent="0.25">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t="s">
        <v>58</v>
      </c>
      <c r="T636" t="s">
        <v>96</v>
      </c>
    </row>
    <row r="637" spans="1:20" x14ac:dyDescent="0.25">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t="s">
        <v>58</v>
      </c>
      <c r="T637" t="s">
        <v>161</v>
      </c>
    </row>
    <row r="638" spans="1:20" x14ac:dyDescent="0.25">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t="s">
        <v>83</v>
      </c>
      <c r="T638" t="s">
        <v>59</v>
      </c>
    </row>
    <row r="639" spans="1:20" x14ac:dyDescent="0.25">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t="s">
        <v>123</v>
      </c>
      <c r="T639" t="s">
        <v>96</v>
      </c>
    </row>
    <row r="640" spans="1:20" x14ac:dyDescent="0.25">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t="s">
        <v>83</v>
      </c>
      <c r="T640" t="s">
        <v>77</v>
      </c>
    </row>
    <row r="641" spans="1:20" x14ac:dyDescent="0.25">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t="s">
        <v>47</v>
      </c>
      <c r="T641" t="s">
        <v>253</v>
      </c>
    </row>
    <row r="642" spans="1:20" x14ac:dyDescent="0.25">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t="s">
        <v>129</v>
      </c>
      <c r="T642" t="s">
        <v>34</v>
      </c>
    </row>
    <row r="643" spans="1:20" x14ac:dyDescent="0.25">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t="s">
        <v>129</v>
      </c>
      <c r="T643" t="s">
        <v>34</v>
      </c>
    </row>
    <row r="644" spans="1:20" x14ac:dyDescent="0.25">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t="s">
        <v>83</v>
      </c>
      <c r="T644" t="s">
        <v>113</v>
      </c>
    </row>
    <row r="645" spans="1:20" x14ac:dyDescent="0.25">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t="s">
        <v>83</v>
      </c>
      <c r="T645" t="s">
        <v>96</v>
      </c>
    </row>
    <row r="646" spans="1:20" x14ac:dyDescent="0.25">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t="s">
        <v>129</v>
      </c>
      <c r="T646" t="s">
        <v>77</v>
      </c>
    </row>
    <row r="647" spans="1:20" x14ac:dyDescent="0.25">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t="s">
        <v>58</v>
      </c>
      <c r="T647" t="s">
        <v>34</v>
      </c>
    </row>
    <row r="648" spans="1:20" x14ac:dyDescent="0.25">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t="s">
        <v>58</v>
      </c>
      <c r="T648" t="s">
        <v>59</v>
      </c>
    </row>
    <row r="649" spans="1:20" x14ac:dyDescent="0.25">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t="s">
        <v>58</v>
      </c>
      <c r="T649" t="s">
        <v>48</v>
      </c>
    </row>
    <row r="650" spans="1:20" x14ac:dyDescent="0.25">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t="s">
        <v>83</v>
      </c>
      <c r="T650" t="s">
        <v>161</v>
      </c>
    </row>
    <row r="651" spans="1:20" x14ac:dyDescent="0.25">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t="s">
        <v>123</v>
      </c>
      <c r="T651" t="s">
        <v>77</v>
      </c>
    </row>
    <row r="652" spans="1:20" x14ac:dyDescent="0.25">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t="s">
        <v>70</v>
      </c>
      <c r="T652" t="s">
        <v>113</v>
      </c>
    </row>
    <row r="653" spans="1:20" x14ac:dyDescent="0.25">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t="s">
        <v>58</v>
      </c>
      <c r="T653" t="s">
        <v>48</v>
      </c>
    </row>
    <row r="654" spans="1:20" x14ac:dyDescent="0.25">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t="s">
        <v>58</v>
      </c>
      <c r="T654" t="s">
        <v>48</v>
      </c>
    </row>
    <row r="655" spans="1:20" x14ac:dyDescent="0.25">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t="s">
        <v>58</v>
      </c>
      <c r="T655" t="s">
        <v>48</v>
      </c>
    </row>
    <row r="656" spans="1:20" x14ac:dyDescent="0.25">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t="s">
        <v>58</v>
      </c>
      <c r="T656" t="s">
        <v>34</v>
      </c>
    </row>
    <row r="657" spans="1:20" x14ac:dyDescent="0.25">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t="s">
        <v>58</v>
      </c>
      <c r="T657" t="s">
        <v>48</v>
      </c>
    </row>
    <row r="658" spans="1:20" x14ac:dyDescent="0.25">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t="s">
        <v>83</v>
      </c>
      <c r="T658" t="s">
        <v>71</v>
      </c>
    </row>
    <row r="659" spans="1:20" x14ac:dyDescent="0.25">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t="s">
        <v>83</v>
      </c>
      <c r="T659" t="s">
        <v>71</v>
      </c>
    </row>
    <row r="660" spans="1:20" x14ac:dyDescent="0.25">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t="s">
        <v>58</v>
      </c>
      <c r="T660" t="s">
        <v>297</v>
      </c>
    </row>
    <row r="661" spans="1:20" x14ac:dyDescent="0.25">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t="s">
        <v>70</v>
      </c>
      <c r="T661" t="s">
        <v>195</v>
      </c>
    </row>
    <row r="662" spans="1:20" x14ac:dyDescent="0.25">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t="s">
        <v>83</v>
      </c>
      <c r="T662" t="s">
        <v>113</v>
      </c>
    </row>
    <row r="663" spans="1:20" x14ac:dyDescent="0.25">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t="s">
        <v>58</v>
      </c>
      <c r="T663" t="s">
        <v>113</v>
      </c>
    </row>
    <row r="664" spans="1:20" x14ac:dyDescent="0.25">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t="s">
        <v>58</v>
      </c>
      <c r="T664" t="s">
        <v>96</v>
      </c>
    </row>
    <row r="665" spans="1:20" x14ac:dyDescent="0.25">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t="s">
        <v>47</v>
      </c>
      <c r="T665" t="s">
        <v>253</v>
      </c>
    </row>
    <row r="666" spans="1:20" x14ac:dyDescent="0.25">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t="s">
        <v>123</v>
      </c>
      <c r="T666" t="s">
        <v>59</v>
      </c>
    </row>
    <row r="667" spans="1:20" x14ac:dyDescent="0.25">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t="s">
        <v>123</v>
      </c>
      <c r="T667" t="s">
        <v>59</v>
      </c>
    </row>
    <row r="668" spans="1:20" x14ac:dyDescent="0.25">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t="s">
        <v>123</v>
      </c>
      <c r="T668" t="s">
        <v>96</v>
      </c>
    </row>
    <row r="669" spans="1:20" x14ac:dyDescent="0.25">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t="s">
        <v>123</v>
      </c>
      <c r="T669" t="s">
        <v>96</v>
      </c>
    </row>
    <row r="670" spans="1:20" x14ac:dyDescent="0.25">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t="s">
        <v>70</v>
      </c>
      <c r="T670" t="s">
        <v>253</v>
      </c>
    </row>
    <row r="671" spans="1:20" x14ac:dyDescent="0.25">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t="s">
        <v>129</v>
      </c>
      <c r="T671" t="s">
        <v>34</v>
      </c>
    </row>
    <row r="672" spans="1:20" x14ac:dyDescent="0.25">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t="s">
        <v>129</v>
      </c>
      <c r="T672" t="s">
        <v>77</v>
      </c>
    </row>
    <row r="673" spans="1:20" x14ac:dyDescent="0.25">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t="s">
        <v>70</v>
      </c>
      <c r="T673" t="s">
        <v>297</v>
      </c>
    </row>
    <row r="674" spans="1:20" x14ac:dyDescent="0.25">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t="s">
        <v>33</v>
      </c>
      <c r="T674" t="s">
        <v>96</v>
      </c>
    </row>
    <row r="675" spans="1:20" x14ac:dyDescent="0.25">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t="s">
        <v>83</v>
      </c>
      <c r="T675" t="s">
        <v>253</v>
      </c>
    </row>
    <row r="676" spans="1:20" x14ac:dyDescent="0.25">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t="s">
        <v>70</v>
      </c>
      <c r="T676" t="s">
        <v>48</v>
      </c>
    </row>
    <row r="677" spans="1:20" x14ac:dyDescent="0.25">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t="s">
        <v>129</v>
      </c>
      <c r="T677" t="s">
        <v>161</v>
      </c>
    </row>
    <row r="678" spans="1:20" x14ac:dyDescent="0.25">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t="s">
        <v>47</v>
      </c>
      <c r="T678" t="s">
        <v>195</v>
      </c>
    </row>
    <row r="679" spans="1:20" x14ac:dyDescent="0.25">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t="s">
        <v>129</v>
      </c>
      <c r="T679" t="s">
        <v>77</v>
      </c>
    </row>
    <row r="680" spans="1:20" x14ac:dyDescent="0.25">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t="s">
        <v>129</v>
      </c>
      <c r="T680" t="s">
        <v>96</v>
      </c>
    </row>
    <row r="681" spans="1:20" x14ac:dyDescent="0.25">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t="s">
        <v>129</v>
      </c>
      <c r="T681" t="s">
        <v>96</v>
      </c>
    </row>
    <row r="682" spans="1:20" x14ac:dyDescent="0.25">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t="s">
        <v>70</v>
      </c>
      <c r="T682" t="s">
        <v>161</v>
      </c>
    </row>
    <row r="683" spans="1:20" x14ac:dyDescent="0.25">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t="s">
        <v>129</v>
      </c>
      <c r="T683" t="s">
        <v>34</v>
      </c>
    </row>
    <row r="684" spans="1:20" x14ac:dyDescent="0.25">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t="s">
        <v>129</v>
      </c>
      <c r="T684" t="s">
        <v>34</v>
      </c>
    </row>
    <row r="685" spans="1:20" x14ac:dyDescent="0.25">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t="s">
        <v>83</v>
      </c>
      <c r="T685" t="s">
        <v>77</v>
      </c>
    </row>
    <row r="686" spans="1:20" x14ac:dyDescent="0.25">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t="s">
        <v>430</v>
      </c>
      <c r="T686" t="s">
        <v>169</v>
      </c>
    </row>
    <row r="687" spans="1:20" x14ac:dyDescent="0.25">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t="s">
        <v>47</v>
      </c>
      <c r="T687" t="s">
        <v>34</v>
      </c>
    </row>
    <row r="688" spans="1:20" x14ac:dyDescent="0.25">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t="s">
        <v>47</v>
      </c>
      <c r="T688" t="s">
        <v>34</v>
      </c>
    </row>
    <row r="689" spans="1:20" x14ac:dyDescent="0.25">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t="s">
        <v>83</v>
      </c>
      <c r="T689" t="s">
        <v>96</v>
      </c>
    </row>
    <row r="690" spans="1:20" x14ac:dyDescent="0.25">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t="s">
        <v>83</v>
      </c>
      <c r="T690" t="s">
        <v>77</v>
      </c>
    </row>
    <row r="691" spans="1:20" x14ac:dyDescent="0.25">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t="s">
        <v>70</v>
      </c>
      <c r="T691" t="s">
        <v>113</v>
      </c>
    </row>
    <row r="692" spans="1:20" x14ac:dyDescent="0.25">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t="s">
        <v>58</v>
      </c>
      <c r="T692" t="s">
        <v>96</v>
      </c>
    </row>
    <row r="693" spans="1:20" x14ac:dyDescent="0.25">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t="s">
        <v>47</v>
      </c>
      <c r="T693" t="s">
        <v>297</v>
      </c>
    </row>
    <row r="694" spans="1:20" x14ac:dyDescent="0.25">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t="s">
        <v>129</v>
      </c>
      <c r="T694" t="s">
        <v>77</v>
      </c>
    </row>
    <row r="695" spans="1:20" x14ac:dyDescent="0.25">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t="s">
        <v>83</v>
      </c>
      <c r="T695" t="s">
        <v>96</v>
      </c>
    </row>
    <row r="696" spans="1:20" x14ac:dyDescent="0.25">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t="s">
        <v>83</v>
      </c>
      <c r="T696" t="s">
        <v>34</v>
      </c>
    </row>
    <row r="697" spans="1:20" x14ac:dyDescent="0.25">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t="s">
        <v>58</v>
      </c>
      <c r="T697" t="s">
        <v>195</v>
      </c>
    </row>
    <row r="698" spans="1:20" x14ac:dyDescent="0.25">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t="s">
        <v>83</v>
      </c>
      <c r="T698" t="s">
        <v>77</v>
      </c>
    </row>
    <row r="699" spans="1:20" x14ac:dyDescent="0.25">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t="s">
        <v>83</v>
      </c>
      <c r="T699" t="s">
        <v>96</v>
      </c>
    </row>
    <row r="700" spans="1:20" x14ac:dyDescent="0.25">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t="s">
        <v>58</v>
      </c>
      <c r="T700" t="s">
        <v>34</v>
      </c>
    </row>
    <row r="701" spans="1:20" x14ac:dyDescent="0.25">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t="s">
        <v>58</v>
      </c>
      <c r="T701" t="s">
        <v>96</v>
      </c>
    </row>
    <row r="702" spans="1:20" x14ac:dyDescent="0.25">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t="s">
        <v>83</v>
      </c>
      <c r="T702" t="s">
        <v>71</v>
      </c>
    </row>
    <row r="703" spans="1:20" x14ac:dyDescent="0.25">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t="s">
        <v>129</v>
      </c>
      <c r="T703" t="s">
        <v>96</v>
      </c>
    </row>
    <row r="704" spans="1:20" x14ac:dyDescent="0.25">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t="s">
        <v>123</v>
      </c>
      <c r="T704" t="s">
        <v>253</v>
      </c>
    </row>
    <row r="705" spans="1:20" x14ac:dyDescent="0.25">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t="s">
        <v>123</v>
      </c>
      <c r="T705" t="s">
        <v>253</v>
      </c>
    </row>
    <row r="706" spans="1:20" x14ac:dyDescent="0.25">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t="s">
        <v>58</v>
      </c>
      <c r="T706" t="s">
        <v>253</v>
      </c>
    </row>
    <row r="707" spans="1:20" x14ac:dyDescent="0.25">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t="s">
        <v>58</v>
      </c>
      <c r="T707" t="s">
        <v>77</v>
      </c>
    </row>
    <row r="708" spans="1:20" x14ac:dyDescent="0.25">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t="s">
        <v>58</v>
      </c>
      <c r="T708" t="s">
        <v>71</v>
      </c>
    </row>
    <row r="709" spans="1:20" x14ac:dyDescent="0.25">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t="s">
        <v>83</v>
      </c>
      <c r="T709" t="s">
        <v>59</v>
      </c>
    </row>
    <row r="710" spans="1:20" x14ac:dyDescent="0.25">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t="s">
        <v>70</v>
      </c>
      <c r="T710" t="s">
        <v>71</v>
      </c>
    </row>
    <row r="711" spans="1:20" x14ac:dyDescent="0.25">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t="s">
        <v>70</v>
      </c>
      <c r="T711" t="s">
        <v>169</v>
      </c>
    </row>
    <row r="712" spans="1:20" x14ac:dyDescent="0.25">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t="s">
        <v>83</v>
      </c>
      <c r="T712" t="s">
        <v>34</v>
      </c>
    </row>
    <row r="713" spans="1:20" x14ac:dyDescent="0.25">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t="s">
        <v>129</v>
      </c>
      <c r="T713" t="s">
        <v>96</v>
      </c>
    </row>
    <row r="714" spans="1:20" x14ac:dyDescent="0.25">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t="s">
        <v>129</v>
      </c>
      <c r="T714" t="s">
        <v>96</v>
      </c>
    </row>
    <row r="715" spans="1:20" x14ac:dyDescent="0.25">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t="s">
        <v>129</v>
      </c>
      <c r="T715" t="s">
        <v>96</v>
      </c>
    </row>
    <row r="716" spans="1:20" x14ac:dyDescent="0.25">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t="s">
        <v>123</v>
      </c>
      <c r="T716" t="s">
        <v>34</v>
      </c>
    </row>
    <row r="717" spans="1:20" x14ac:dyDescent="0.25">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t="s">
        <v>58</v>
      </c>
      <c r="T717" t="s">
        <v>96</v>
      </c>
    </row>
    <row r="718" spans="1:20" x14ac:dyDescent="0.25">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t="s">
        <v>83</v>
      </c>
      <c r="T718" t="s">
        <v>48</v>
      </c>
    </row>
    <row r="719" spans="1:20" x14ac:dyDescent="0.25">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t="s">
        <v>123</v>
      </c>
      <c r="T719" t="s">
        <v>161</v>
      </c>
    </row>
    <row r="720" spans="1:20" x14ac:dyDescent="0.25">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t="s">
        <v>47</v>
      </c>
      <c r="T720" t="s">
        <v>161</v>
      </c>
    </row>
    <row r="721" spans="1:20" x14ac:dyDescent="0.25">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t="s">
        <v>83</v>
      </c>
      <c r="T721" t="s">
        <v>113</v>
      </c>
    </row>
    <row r="722" spans="1:20" x14ac:dyDescent="0.25">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t="s">
        <v>83</v>
      </c>
      <c r="T722" t="s">
        <v>113</v>
      </c>
    </row>
    <row r="723" spans="1:20" x14ac:dyDescent="0.25">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t="s">
        <v>83</v>
      </c>
      <c r="T723" t="s">
        <v>113</v>
      </c>
    </row>
    <row r="724" spans="1:20" x14ac:dyDescent="0.25">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t="s">
        <v>47</v>
      </c>
      <c r="T724" t="s">
        <v>77</v>
      </c>
    </row>
    <row r="725" spans="1:20" x14ac:dyDescent="0.25">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t="s">
        <v>83</v>
      </c>
      <c r="T725" t="s">
        <v>77</v>
      </c>
    </row>
    <row r="726" spans="1:20" x14ac:dyDescent="0.25">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t="s">
        <v>33</v>
      </c>
      <c r="T726" t="s">
        <v>71</v>
      </c>
    </row>
    <row r="727" spans="1:20" x14ac:dyDescent="0.25">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t="s">
        <v>123</v>
      </c>
      <c r="T727" t="s">
        <v>96</v>
      </c>
    </row>
    <row r="728" spans="1:20" x14ac:dyDescent="0.25">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t="s">
        <v>70</v>
      </c>
      <c r="T728" t="s">
        <v>77</v>
      </c>
    </row>
    <row r="729" spans="1:20" x14ac:dyDescent="0.25">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t="s">
        <v>430</v>
      </c>
      <c r="T729" t="s">
        <v>48</v>
      </c>
    </row>
    <row r="730" spans="1:20" x14ac:dyDescent="0.25">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t="s">
        <v>430</v>
      </c>
      <c r="T730" t="s">
        <v>48</v>
      </c>
    </row>
    <row r="731" spans="1:20" x14ac:dyDescent="0.25">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t="s">
        <v>70</v>
      </c>
      <c r="T731" t="s">
        <v>77</v>
      </c>
    </row>
    <row r="732" spans="1:20" x14ac:dyDescent="0.25">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t="s">
        <v>83</v>
      </c>
      <c r="T732" t="s">
        <v>77</v>
      </c>
    </row>
    <row r="733" spans="1:20" x14ac:dyDescent="0.25">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t="s">
        <v>58</v>
      </c>
      <c r="T733" t="s">
        <v>96</v>
      </c>
    </row>
    <row r="734" spans="1:20" x14ac:dyDescent="0.25">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t="s">
        <v>83</v>
      </c>
      <c r="T734" t="s">
        <v>96</v>
      </c>
    </row>
    <row r="735" spans="1:20" x14ac:dyDescent="0.25">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t="s">
        <v>47</v>
      </c>
      <c r="T735" t="s">
        <v>195</v>
      </c>
    </row>
    <row r="736" spans="1:20" x14ac:dyDescent="0.25">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t="s">
        <v>129</v>
      </c>
      <c r="T736" t="s">
        <v>96</v>
      </c>
    </row>
    <row r="737" spans="1:20" x14ac:dyDescent="0.25">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t="s">
        <v>33</v>
      </c>
      <c r="T737" t="s">
        <v>113</v>
      </c>
    </row>
    <row r="738" spans="1:20" x14ac:dyDescent="0.25">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t="s">
        <v>70</v>
      </c>
      <c r="T738" t="s">
        <v>253</v>
      </c>
    </row>
    <row r="739" spans="1:20" x14ac:dyDescent="0.25">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t="s">
        <v>70</v>
      </c>
      <c r="T739" t="s">
        <v>253</v>
      </c>
    </row>
    <row r="740" spans="1:20" x14ac:dyDescent="0.25">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t="s">
        <v>83</v>
      </c>
      <c r="T740" t="s">
        <v>71</v>
      </c>
    </row>
    <row r="741" spans="1:20" x14ac:dyDescent="0.25">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t="s">
        <v>83</v>
      </c>
      <c r="T741" t="s">
        <v>71</v>
      </c>
    </row>
    <row r="742" spans="1:20" x14ac:dyDescent="0.25">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t="s">
        <v>83</v>
      </c>
      <c r="T742" t="s">
        <v>77</v>
      </c>
    </row>
    <row r="743" spans="1:20" x14ac:dyDescent="0.25">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t="s">
        <v>47</v>
      </c>
      <c r="T743" t="s">
        <v>253</v>
      </c>
    </row>
    <row r="744" spans="1:20" x14ac:dyDescent="0.25">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t="s">
        <v>83</v>
      </c>
      <c r="T744" t="s">
        <v>59</v>
      </c>
    </row>
    <row r="745" spans="1:20" x14ac:dyDescent="0.25">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t="s">
        <v>70</v>
      </c>
      <c r="T745" t="s">
        <v>77</v>
      </c>
    </row>
    <row r="746" spans="1:20" x14ac:dyDescent="0.25">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t="s">
        <v>33</v>
      </c>
      <c r="T746" t="s">
        <v>59</v>
      </c>
    </row>
    <row r="747" spans="1:20" x14ac:dyDescent="0.25">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t="s">
        <v>70</v>
      </c>
      <c r="T747" t="s">
        <v>77</v>
      </c>
    </row>
    <row r="748" spans="1:20" x14ac:dyDescent="0.25">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t="s">
        <v>70</v>
      </c>
      <c r="T748" t="s">
        <v>77</v>
      </c>
    </row>
    <row r="749" spans="1:20" x14ac:dyDescent="0.25">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t="s">
        <v>70</v>
      </c>
      <c r="T749" t="s">
        <v>48</v>
      </c>
    </row>
    <row r="750" spans="1:20" x14ac:dyDescent="0.25">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t="s">
        <v>83</v>
      </c>
      <c r="T750" t="s">
        <v>195</v>
      </c>
    </row>
    <row r="751" spans="1:20" x14ac:dyDescent="0.25">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t="s">
        <v>58</v>
      </c>
      <c r="T751" t="s">
        <v>77</v>
      </c>
    </row>
    <row r="752" spans="1:20" x14ac:dyDescent="0.25">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t="s">
        <v>83</v>
      </c>
      <c r="T752" t="s">
        <v>71</v>
      </c>
    </row>
    <row r="753" spans="1:20" x14ac:dyDescent="0.25">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t="s">
        <v>129</v>
      </c>
      <c r="T753" t="s">
        <v>96</v>
      </c>
    </row>
    <row r="754" spans="1:20" x14ac:dyDescent="0.25">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t="s">
        <v>129</v>
      </c>
      <c r="T754" t="s">
        <v>96</v>
      </c>
    </row>
    <row r="755" spans="1:20" x14ac:dyDescent="0.25">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t="s">
        <v>58</v>
      </c>
      <c r="T755" t="s">
        <v>77</v>
      </c>
    </row>
    <row r="756" spans="1:20" x14ac:dyDescent="0.25">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t="s">
        <v>47</v>
      </c>
      <c r="T756" t="s">
        <v>34</v>
      </c>
    </row>
    <row r="757" spans="1:20" x14ac:dyDescent="0.25">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t="s">
        <v>129</v>
      </c>
      <c r="T757" t="s">
        <v>253</v>
      </c>
    </row>
    <row r="758" spans="1:20" x14ac:dyDescent="0.25">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t="s">
        <v>129</v>
      </c>
      <c r="T758" t="s">
        <v>253</v>
      </c>
    </row>
    <row r="759" spans="1:20" x14ac:dyDescent="0.25">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t="s">
        <v>70</v>
      </c>
      <c r="T759" t="s">
        <v>34</v>
      </c>
    </row>
    <row r="760" spans="1:20" x14ac:dyDescent="0.25">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t="s">
        <v>58</v>
      </c>
      <c r="T760" t="s">
        <v>77</v>
      </c>
    </row>
    <row r="761" spans="1:20" x14ac:dyDescent="0.25">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t="s">
        <v>70</v>
      </c>
      <c r="T761" t="s">
        <v>161</v>
      </c>
    </row>
    <row r="762" spans="1:20" x14ac:dyDescent="0.25">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t="s">
        <v>83</v>
      </c>
      <c r="T762" t="s">
        <v>34</v>
      </c>
    </row>
    <row r="763" spans="1:20" x14ac:dyDescent="0.25">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t="s">
        <v>58</v>
      </c>
      <c r="T763" t="s">
        <v>195</v>
      </c>
    </row>
    <row r="764" spans="1:20" x14ac:dyDescent="0.25">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t="s">
        <v>58</v>
      </c>
      <c r="T764" t="s">
        <v>195</v>
      </c>
    </row>
    <row r="765" spans="1:20" x14ac:dyDescent="0.25">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t="s">
        <v>58</v>
      </c>
      <c r="T765" t="s">
        <v>34</v>
      </c>
    </row>
    <row r="766" spans="1:20" x14ac:dyDescent="0.25">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t="s">
        <v>83</v>
      </c>
      <c r="T766" t="s">
        <v>96</v>
      </c>
    </row>
    <row r="767" spans="1:20" x14ac:dyDescent="0.25">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t="s">
        <v>58</v>
      </c>
      <c r="T767" t="s">
        <v>71</v>
      </c>
    </row>
    <row r="768" spans="1:20" x14ac:dyDescent="0.25">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t="s">
        <v>33</v>
      </c>
      <c r="T768" t="s">
        <v>48</v>
      </c>
    </row>
    <row r="769" spans="1:20" x14ac:dyDescent="0.25">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t="s">
        <v>70</v>
      </c>
      <c r="T769" t="s">
        <v>34</v>
      </c>
    </row>
    <row r="770" spans="1:20" x14ac:dyDescent="0.25">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t="s">
        <v>58</v>
      </c>
      <c r="T770" t="s">
        <v>96</v>
      </c>
    </row>
    <row r="771" spans="1:20" x14ac:dyDescent="0.25">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t="s">
        <v>83</v>
      </c>
      <c r="T771" t="s">
        <v>169</v>
      </c>
    </row>
    <row r="772" spans="1:20" x14ac:dyDescent="0.25">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t="s">
        <v>83</v>
      </c>
      <c r="T772" t="s">
        <v>34</v>
      </c>
    </row>
    <row r="773" spans="1:20" x14ac:dyDescent="0.25">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t="s">
        <v>70</v>
      </c>
      <c r="T773" t="s">
        <v>48</v>
      </c>
    </row>
    <row r="774" spans="1:20" x14ac:dyDescent="0.25">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t="s">
        <v>33</v>
      </c>
      <c r="T774" t="s">
        <v>113</v>
      </c>
    </row>
    <row r="775" spans="1:20" x14ac:dyDescent="0.25">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t="s">
        <v>70</v>
      </c>
      <c r="T775" t="s">
        <v>96</v>
      </c>
    </row>
    <row r="776" spans="1:20" x14ac:dyDescent="0.25">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t="s">
        <v>83</v>
      </c>
      <c r="T776" t="s">
        <v>96</v>
      </c>
    </row>
    <row r="777" spans="1:20" x14ac:dyDescent="0.25">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t="s">
        <v>58</v>
      </c>
      <c r="T777" t="s">
        <v>195</v>
      </c>
    </row>
    <row r="778" spans="1:20" x14ac:dyDescent="0.25">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t="s">
        <v>58</v>
      </c>
      <c r="T778" t="s">
        <v>77</v>
      </c>
    </row>
    <row r="779" spans="1:20" x14ac:dyDescent="0.25">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t="s">
        <v>70</v>
      </c>
      <c r="T779" t="s">
        <v>253</v>
      </c>
    </row>
    <row r="780" spans="1:20" x14ac:dyDescent="0.25">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t="s">
        <v>70</v>
      </c>
      <c r="T780" t="s">
        <v>253</v>
      </c>
    </row>
    <row r="781" spans="1:20" x14ac:dyDescent="0.25">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t="s">
        <v>33</v>
      </c>
      <c r="T781" t="s">
        <v>195</v>
      </c>
    </row>
    <row r="782" spans="1:20" x14ac:dyDescent="0.25">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t="s">
        <v>58</v>
      </c>
      <c r="T782" t="s">
        <v>77</v>
      </c>
    </row>
    <row r="783" spans="1:20" x14ac:dyDescent="0.25">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t="s">
        <v>58</v>
      </c>
      <c r="T783" t="s">
        <v>253</v>
      </c>
    </row>
    <row r="784" spans="1:20" x14ac:dyDescent="0.25">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t="s">
        <v>83</v>
      </c>
      <c r="T784" t="s">
        <v>195</v>
      </c>
    </row>
    <row r="785" spans="1:20" x14ac:dyDescent="0.25">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t="s">
        <v>83</v>
      </c>
      <c r="T785" t="s">
        <v>96</v>
      </c>
    </row>
    <row r="786" spans="1:20" x14ac:dyDescent="0.25">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t="s">
        <v>83</v>
      </c>
      <c r="T786" t="s">
        <v>96</v>
      </c>
    </row>
    <row r="787" spans="1:20" x14ac:dyDescent="0.25">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t="s">
        <v>58</v>
      </c>
      <c r="T787" t="s">
        <v>161</v>
      </c>
    </row>
    <row r="788" spans="1:20" x14ac:dyDescent="0.25">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t="s">
        <v>129</v>
      </c>
      <c r="T788" t="s">
        <v>169</v>
      </c>
    </row>
    <row r="789" spans="1:20" x14ac:dyDescent="0.25">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t="s">
        <v>123</v>
      </c>
      <c r="T789" t="s">
        <v>34</v>
      </c>
    </row>
    <row r="790" spans="1:20" x14ac:dyDescent="0.25">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t="s">
        <v>129</v>
      </c>
      <c r="T790" t="s">
        <v>48</v>
      </c>
    </row>
    <row r="791" spans="1:20" x14ac:dyDescent="0.25">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t="s">
        <v>47</v>
      </c>
      <c r="T791" t="s">
        <v>34</v>
      </c>
    </row>
    <row r="792" spans="1:20" x14ac:dyDescent="0.25">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t="s">
        <v>47</v>
      </c>
      <c r="T792" t="s">
        <v>34</v>
      </c>
    </row>
    <row r="793" spans="1:20" x14ac:dyDescent="0.25">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t="s">
        <v>83</v>
      </c>
      <c r="T793" t="s">
        <v>77</v>
      </c>
    </row>
    <row r="794" spans="1:20" x14ac:dyDescent="0.25">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t="s">
        <v>83</v>
      </c>
      <c r="T794" t="s">
        <v>77</v>
      </c>
    </row>
    <row r="795" spans="1:20" x14ac:dyDescent="0.25">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t="s">
        <v>58</v>
      </c>
      <c r="T795" t="s">
        <v>48</v>
      </c>
    </row>
    <row r="796" spans="1:20" x14ac:dyDescent="0.25">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t="s">
        <v>83</v>
      </c>
      <c r="T796" t="s">
        <v>161</v>
      </c>
    </row>
    <row r="797" spans="1:20" x14ac:dyDescent="0.25">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t="s">
        <v>83</v>
      </c>
      <c r="T797" t="s">
        <v>161</v>
      </c>
    </row>
    <row r="798" spans="1:20" x14ac:dyDescent="0.25">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t="s">
        <v>83</v>
      </c>
      <c r="T798" t="s">
        <v>161</v>
      </c>
    </row>
    <row r="799" spans="1:20" x14ac:dyDescent="0.25">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t="s">
        <v>58</v>
      </c>
      <c r="T799" t="s">
        <v>34</v>
      </c>
    </row>
    <row r="800" spans="1:20" x14ac:dyDescent="0.25">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t="s">
        <v>430</v>
      </c>
      <c r="T800" t="s">
        <v>34</v>
      </c>
    </row>
    <row r="801" spans="1:20" x14ac:dyDescent="0.25">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t="s">
        <v>47</v>
      </c>
      <c r="T801" t="s">
        <v>71</v>
      </c>
    </row>
    <row r="802" spans="1:20" x14ac:dyDescent="0.25">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t="s">
        <v>47</v>
      </c>
      <c r="T802" t="s">
        <v>71</v>
      </c>
    </row>
    <row r="803" spans="1:20" x14ac:dyDescent="0.25">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t="s">
        <v>83</v>
      </c>
      <c r="T803" t="s">
        <v>59</v>
      </c>
    </row>
    <row r="804" spans="1:20" x14ac:dyDescent="0.25">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t="s">
        <v>33</v>
      </c>
      <c r="T804" t="s">
        <v>48</v>
      </c>
    </row>
    <row r="805" spans="1:20" x14ac:dyDescent="0.25">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t="s">
        <v>430</v>
      </c>
      <c r="T805" t="s">
        <v>77</v>
      </c>
    </row>
    <row r="806" spans="1:20" x14ac:dyDescent="0.25">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t="s">
        <v>83</v>
      </c>
      <c r="T806" t="s">
        <v>59</v>
      </c>
    </row>
    <row r="807" spans="1:20" x14ac:dyDescent="0.25">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t="s">
        <v>58</v>
      </c>
      <c r="T807" t="s">
        <v>297</v>
      </c>
    </row>
    <row r="808" spans="1:20" x14ac:dyDescent="0.25">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t="s">
        <v>58</v>
      </c>
      <c r="T808" t="s">
        <v>34</v>
      </c>
    </row>
    <row r="809" spans="1:20" x14ac:dyDescent="0.25">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t="s">
        <v>83</v>
      </c>
      <c r="T809" t="s">
        <v>48</v>
      </c>
    </row>
    <row r="810" spans="1:20" x14ac:dyDescent="0.25">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t="s">
        <v>83</v>
      </c>
      <c r="T810" t="s">
        <v>48</v>
      </c>
    </row>
    <row r="811" spans="1:20" x14ac:dyDescent="0.25">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t="s">
        <v>83</v>
      </c>
      <c r="T811" t="s">
        <v>48</v>
      </c>
    </row>
    <row r="812" spans="1:20" x14ac:dyDescent="0.25">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t="s">
        <v>58</v>
      </c>
      <c r="T812" t="s">
        <v>59</v>
      </c>
    </row>
    <row r="813" spans="1:20" x14ac:dyDescent="0.25">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t="s">
        <v>58</v>
      </c>
      <c r="T813" t="s">
        <v>59</v>
      </c>
    </row>
    <row r="814" spans="1:20" x14ac:dyDescent="0.25">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t="s">
        <v>129</v>
      </c>
      <c r="T814" t="s">
        <v>34</v>
      </c>
    </row>
    <row r="815" spans="1:20" x14ac:dyDescent="0.25">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t="s">
        <v>58</v>
      </c>
      <c r="T815" t="s">
        <v>113</v>
      </c>
    </row>
    <row r="816" spans="1:20" x14ac:dyDescent="0.25">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t="s">
        <v>58</v>
      </c>
      <c r="T816" t="s">
        <v>113</v>
      </c>
    </row>
    <row r="817" spans="1:20" x14ac:dyDescent="0.25">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t="s">
        <v>58</v>
      </c>
      <c r="T817" t="s">
        <v>113</v>
      </c>
    </row>
    <row r="818" spans="1:20" x14ac:dyDescent="0.25">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t="s">
        <v>47</v>
      </c>
      <c r="T818" t="s">
        <v>77</v>
      </c>
    </row>
    <row r="819" spans="1:20" x14ac:dyDescent="0.25">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t="s">
        <v>58</v>
      </c>
      <c r="T819" t="s">
        <v>71</v>
      </c>
    </row>
    <row r="820" spans="1:20" x14ac:dyDescent="0.25">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t="s">
        <v>58</v>
      </c>
      <c r="T820" t="s">
        <v>71</v>
      </c>
    </row>
    <row r="821" spans="1:20" x14ac:dyDescent="0.25">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t="s">
        <v>58</v>
      </c>
      <c r="T821" t="s">
        <v>71</v>
      </c>
    </row>
    <row r="822" spans="1:20" x14ac:dyDescent="0.25">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t="s">
        <v>83</v>
      </c>
      <c r="T822" t="s">
        <v>77</v>
      </c>
    </row>
    <row r="823" spans="1:20" x14ac:dyDescent="0.25">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t="s">
        <v>33</v>
      </c>
      <c r="T823" t="s">
        <v>195</v>
      </c>
    </row>
    <row r="824" spans="1:20" x14ac:dyDescent="0.25">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t="s">
        <v>83</v>
      </c>
      <c r="T824" t="s">
        <v>59</v>
      </c>
    </row>
    <row r="825" spans="1:20" x14ac:dyDescent="0.25">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t="s">
        <v>430</v>
      </c>
      <c r="T825" t="s">
        <v>96</v>
      </c>
    </row>
    <row r="826" spans="1:20" x14ac:dyDescent="0.25">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t="s">
        <v>58</v>
      </c>
      <c r="T826" t="s">
        <v>161</v>
      </c>
    </row>
    <row r="827" spans="1:20" x14ac:dyDescent="0.25">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t="s">
        <v>83</v>
      </c>
      <c r="T827" t="s">
        <v>34</v>
      </c>
    </row>
    <row r="828" spans="1:20" x14ac:dyDescent="0.25">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t="s">
        <v>58</v>
      </c>
      <c r="T828" t="s">
        <v>113</v>
      </c>
    </row>
    <row r="829" spans="1:20" x14ac:dyDescent="0.25">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t="s">
        <v>47</v>
      </c>
      <c r="T829" t="s">
        <v>59</v>
      </c>
    </row>
    <row r="830" spans="1:20" x14ac:dyDescent="0.25">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t="s">
        <v>83</v>
      </c>
      <c r="T830" t="s">
        <v>161</v>
      </c>
    </row>
    <row r="831" spans="1:20" x14ac:dyDescent="0.25">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t="s">
        <v>123</v>
      </c>
      <c r="T831" t="s">
        <v>297</v>
      </c>
    </row>
    <row r="832" spans="1:20" x14ac:dyDescent="0.25">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t="s">
        <v>83</v>
      </c>
      <c r="T832" t="s">
        <v>195</v>
      </c>
    </row>
    <row r="833" spans="1:20" x14ac:dyDescent="0.25">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t="s">
        <v>70</v>
      </c>
      <c r="T833" t="s">
        <v>48</v>
      </c>
    </row>
    <row r="834" spans="1:20" x14ac:dyDescent="0.25">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t="s">
        <v>83</v>
      </c>
      <c r="T834" t="s">
        <v>96</v>
      </c>
    </row>
    <row r="835" spans="1:20" x14ac:dyDescent="0.25">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t="s">
        <v>58</v>
      </c>
      <c r="T835" t="s">
        <v>96</v>
      </c>
    </row>
    <row r="836" spans="1:20" x14ac:dyDescent="0.25">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t="s">
        <v>70</v>
      </c>
      <c r="T836" t="s">
        <v>71</v>
      </c>
    </row>
    <row r="837" spans="1:20" x14ac:dyDescent="0.25">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t="s">
        <v>83</v>
      </c>
      <c r="T837" t="s">
        <v>113</v>
      </c>
    </row>
    <row r="838" spans="1:20" x14ac:dyDescent="0.25">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t="s">
        <v>58</v>
      </c>
      <c r="T838" t="s">
        <v>113</v>
      </c>
    </row>
    <row r="839" spans="1:20" x14ac:dyDescent="0.25">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t="s">
        <v>70</v>
      </c>
      <c r="T839" t="s">
        <v>34</v>
      </c>
    </row>
    <row r="840" spans="1:20" x14ac:dyDescent="0.25">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t="s">
        <v>83</v>
      </c>
      <c r="T840" t="s">
        <v>161</v>
      </c>
    </row>
    <row r="841" spans="1:20" x14ac:dyDescent="0.25">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t="s">
        <v>83</v>
      </c>
      <c r="T841" t="s">
        <v>195</v>
      </c>
    </row>
    <row r="842" spans="1:20" x14ac:dyDescent="0.25">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t="s">
        <v>83</v>
      </c>
      <c r="T842" t="s">
        <v>195</v>
      </c>
    </row>
    <row r="843" spans="1:20" x14ac:dyDescent="0.25">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t="s">
        <v>83</v>
      </c>
      <c r="T843" t="s">
        <v>195</v>
      </c>
    </row>
    <row r="844" spans="1:20" x14ac:dyDescent="0.25">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t="s">
        <v>33</v>
      </c>
      <c r="T844" t="s">
        <v>71</v>
      </c>
    </row>
    <row r="845" spans="1:20" x14ac:dyDescent="0.25">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t="s">
        <v>58</v>
      </c>
      <c r="T845" t="s">
        <v>48</v>
      </c>
    </row>
    <row r="846" spans="1:20" x14ac:dyDescent="0.25">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t="s">
        <v>58</v>
      </c>
      <c r="T846" t="s">
        <v>195</v>
      </c>
    </row>
    <row r="847" spans="1:20" x14ac:dyDescent="0.25">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t="s">
        <v>83</v>
      </c>
      <c r="T847" t="s">
        <v>169</v>
      </c>
    </row>
    <row r="848" spans="1:20" x14ac:dyDescent="0.25">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t="s">
        <v>58</v>
      </c>
      <c r="T848" t="s">
        <v>59</v>
      </c>
    </row>
    <row r="849" spans="1:20" x14ac:dyDescent="0.25">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t="s">
        <v>58</v>
      </c>
      <c r="T849" t="s">
        <v>59</v>
      </c>
    </row>
    <row r="850" spans="1:20" x14ac:dyDescent="0.25">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t="s">
        <v>123</v>
      </c>
      <c r="T850" t="s">
        <v>48</v>
      </c>
    </row>
    <row r="851" spans="1:20" x14ac:dyDescent="0.25">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t="s">
        <v>83</v>
      </c>
      <c r="T851" t="s">
        <v>96</v>
      </c>
    </row>
    <row r="852" spans="1:20" x14ac:dyDescent="0.25">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t="s">
        <v>83</v>
      </c>
      <c r="T852" t="s">
        <v>96</v>
      </c>
    </row>
    <row r="853" spans="1:20" x14ac:dyDescent="0.25">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t="s">
        <v>83</v>
      </c>
      <c r="T853" t="s">
        <v>96</v>
      </c>
    </row>
    <row r="854" spans="1:20" x14ac:dyDescent="0.25">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t="s">
        <v>58</v>
      </c>
      <c r="T854" t="s">
        <v>59</v>
      </c>
    </row>
    <row r="855" spans="1:20" x14ac:dyDescent="0.25">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t="s">
        <v>70</v>
      </c>
      <c r="T855" t="s">
        <v>59</v>
      </c>
    </row>
    <row r="856" spans="1:20" x14ac:dyDescent="0.25">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t="s">
        <v>70</v>
      </c>
      <c r="T856" t="s">
        <v>59</v>
      </c>
    </row>
    <row r="857" spans="1:20" x14ac:dyDescent="0.25">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t="s">
        <v>83</v>
      </c>
      <c r="T857" t="s">
        <v>77</v>
      </c>
    </row>
    <row r="858" spans="1:20" x14ac:dyDescent="0.25">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t="s">
        <v>83</v>
      </c>
      <c r="T858" t="s">
        <v>77</v>
      </c>
    </row>
    <row r="859" spans="1:20" x14ac:dyDescent="0.25">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t="s">
        <v>83</v>
      </c>
      <c r="T859" t="s">
        <v>34</v>
      </c>
    </row>
    <row r="860" spans="1:20" x14ac:dyDescent="0.25">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t="s">
        <v>33</v>
      </c>
      <c r="T860" t="s">
        <v>253</v>
      </c>
    </row>
    <row r="861" spans="1:20" x14ac:dyDescent="0.25">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t="s">
        <v>58</v>
      </c>
      <c r="T861" t="s">
        <v>34</v>
      </c>
    </row>
    <row r="862" spans="1:20" x14ac:dyDescent="0.25">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t="s">
        <v>58</v>
      </c>
      <c r="T862" t="s">
        <v>34</v>
      </c>
    </row>
    <row r="863" spans="1:20" x14ac:dyDescent="0.25">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t="s">
        <v>47</v>
      </c>
      <c r="T863" t="s">
        <v>253</v>
      </c>
    </row>
    <row r="864" spans="1:20" x14ac:dyDescent="0.25">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t="s">
        <v>430</v>
      </c>
      <c r="T864" t="s">
        <v>96</v>
      </c>
    </row>
    <row r="865" spans="1:20" x14ac:dyDescent="0.25">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t="s">
        <v>430</v>
      </c>
      <c r="T865" t="s">
        <v>77</v>
      </c>
    </row>
    <row r="866" spans="1:20" x14ac:dyDescent="0.25">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t="s">
        <v>47</v>
      </c>
      <c r="T866" t="s">
        <v>96</v>
      </c>
    </row>
    <row r="867" spans="1:20" x14ac:dyDescent="0.25">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t="s">
        <v>83</v>
      </c>
      <c r="T867" t="s">
        <v>71</v>
      </c>
    </row>
    <row r="868" spans="1:20" x14ac:dyDescent="0.25">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t="s">
        <v>33</v>
      </c>
      <c r="T868" t="s">
        <v>96</v>
      </c>
    </row>
    <row r="869" spans="1:20" x14ac:dyDescent="0.25">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t="s">
        <v>47</v>
      </c>
      <c r="T869" t="s">
        <v>169</v>
      </c>
    </row>
    <row r="870" spans="1:20" x14ac:dyDescent="0.25">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t="s">
        <v>129</v>
      </c>
      <c r="T870" t="s">
        <v>34</v>
      </c>
    </row>
    <row r="871" spans="1:20" x14ac:dyDescent="0.25">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t="s">
        <v>70</v>
      </c>
      <c r="T871" t="s">
        <v>48</v>
      </c>
    </row>
    <row r="872" spans="1:20" x14ac:dyDescent="0.25">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t="s">
        <v>70</v>
      </c>
      <c r="T872" t="s">
        <v>96</v>
      </c>
    </row>
    <row r="873" spans="1:20" x14ac:dyDescent="0.25">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t="s">
        <v>83</v>
      </c>
      <c r="T873" t="s">
        <v>34</v>
      </c>
    </row>
    <row r="874" spans="1:20" x14ac:dyDescent="0.25">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t="s">
        <v>129</v>
      </c>
      <c r="T874" t="s">
        <v>113</v>
      </c>
    </row>
    <row r="875" spans="1:20" x14ac:dyDescent="0.25">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t="s">
        <v>70</v>
      </c>
      <c r="T875" t="s">
        <v>48</v>
      </c>
    </row>
    <row r="876" spans="1:20" x14ac:dyDescent="0.25">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t="s">
        <v>70</v>
      </c>
      <c r="T876" t="s">
        <v>48</v>
      </c>
    </row>
    <row r="877" spans="1:20" x14ac:dyDescent="0.25">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t="s">
        <v>70</v>
      </c>
      <c r="T877" t="s">
        <v>48</v>
      </c>
    </row>
    <row r="878" spans="1:20" x14ac:dyDescent="0.25">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t="s">
        <v>70</v>
      </c>
      <c r="T878" t="s">
        <v>48</v>
      </c>
    </row>
    <row r="879" spans="1:20" x14ac:dyDescent="0.25">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t="s">
        <v>70</v>
      </c>
      <c r="T879" t="s">
        <v>113</v>
      </c>
    </row>
    <row r="880" spans="1:20" x14ac:dyDescent="0.25">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t="s">
        <v>70</v>
      </c>
      <c r="T880" t="s">
        <v>59</v>
      </c>
    </row>
    <row r="881" spans="1:20" x14ac:dyDescent="0.25">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t="s">
        <v>83</v>
      </c>
      <c r="T881" t="s">
        <v>96</v>
      </c>
    </row>
    <row r="882" spans="1:20" x14ac:dyDescent="0.25">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t="s">
        <v>58</v>
      </c>
      <c r="T882" t="s">
        <v>169</v>
      </c>
    </row>
    <row r="883" spans="1:20" x14ac:dyDescent="0.25">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t="s">
        <v>58</v>
      </c>
      <c r="T883" t="s">
        <v>71</v>
      </c>
    </row>
    <row r="884" spans="1:20" x14ac:dyDescent="0.25">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t="s">
        <v>129</v>
      </c>
      <c r="T884" t="s">
        <v>34</v>
      </c>
    </row>
    <row r="885" spans="1:20" x14ac:dyDescent="0.25">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t="s">
        <v>129</v>
      </c>
      <c r="T885" t="s">
        <v>34</v>
      </c>
    </row>
    <row r="886" spans="1:20" x14ac:dyDescent="0.25">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t="s">
        <v>83</v>
      </c>
      <c r="T886" t="s">
        <v>96</v>
      </c>
    </row>
    <row r="887" spans="1:20" x14ac:dyDescent="0.25">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t="s">
        <v>430</v>
      </c>
      <c r="T887" t="s">
        <v>77</v>
      </c>
    </row>
    <row r="888" spans="1:20" x14ac:dyDescent="0.25">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t="s">
        <v>33</v>
      </c>
      <c r="T888" t="s">
        <v>48</v>
      </c>
    </row>
    <row r="889" spans="1:20" x14ac:dyDescent="0.25">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t="s">
        <v>70</v>
      </c>
      <c r="T889" t="s">
        <v>195</v>
      </c>
    </row>
    <row r="890" spans="1:20" x14ac:dyDescent="0.25">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t="s">
        <v>83</v>
      </c>
      <c r="T890" t="s">
        <v>34</v>
      </c>
    </row>
    <row r="891" spans="1:20" x14ac:dyDescent="0.25">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t="s">
        <v>83</v>
      </c>
      <c r="T891" t="s">
        <v>34</v>
      </c>
    </row>
    <row r="892" spans="1:20" x14ac:dyDescent="0.25">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t="s">
        <v>83</v>
      </c>
      <c r="T892" t="s">
        <v>59</v>
      </c>
    </row>
    <row r="893" spans="1:20" x14ac:dyDescent="0.25">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t="s">
        <v>83</v>
      </c>
      <c r="T893" t="s">
        <v>34</v>
      </c>
    </row>
    <row r="894" spans="1:20" x14ac:dyDescent="0.25">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t="s">
        <v>33</v>
      </c>
      <c r="T894" t="s">
        <v>34</v>
      </c>
    </row>
    <row r="895" spans="1:20" x14ac:dyDescent="0.25">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t="s">
        <v>83</v>
      </c>
      <c r="T895" t="s">
        <v>113</v>
      </c>
    </row>
    <row r="896" spans="1:20" x14ac:dyDescent="0.25">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t="s">
        <v>83</v>
      </c>
      <c r="T896" t="s">
        <v>34</v>
      </c>
    </row>
    <row r="897" spans="1:20" x14ac:dyDescent="0.25">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t="s">
        <v>58</v>
      </c>
      <c r="T897" t="s">
        <v>34</v>
      </c>
    </row>
    <row r="898" spans="1:20" x14ac:dyDescent="0.25">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t="s">
        <v>83</v>
      </c>
      <c r="T898" t="s">
        <v>96</v>
      </c>
    </row>
    <row r="899" spans="1:20" x14ac:dyDescent="0.25">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t="s">
        <v>58</v>
      </c>
      <c r="T899" t="s">
        <v>48</v>
      </c>
    </row>
    <row r="900" spans="1:20" x14ac:dyDescent="0.25">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t="s">
        <v>47</v>
      </c>
      <c r="T900" t="s">
        <v>71</v>
      </c>
    </row>
    <row r="901" spans="1:20" x14ac:dyDescent="0.25">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t="s">
        <v>33</v>
      </c>
      <c r="T901" t="s">
        <v>253</v>
      </c>
    </row>
    <row r="902" spans="1:20" x14ac:dyDescent="0.25">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t="s">
        <v>83</v>
      </c>
      <c r="T902" t="s">
        <v>48</v>
      </c>
    </row>
    <row r="903" spans="1:20" x14ac:dyDescent="0.25">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t="s">
        <v>47</v>
      </c>
      <c r="T903" t="s">
        <v>34</v>
      </c>
    </row>
    <row r="904" spans="1:20" x14ac:dyDescent="0.25">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t="s">
        <v>83</v>
      </c>
      <c r="T904" t="s">
        <v>96</v>
      </c>
    </row>
    <row r="905" spans="1:20" x14ac:dyDescent="0.25">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t="s">
        <v>83</v>
      </c>
      <c r="T905" t="s">
        <v>96</v>
      </c>
    </row>
    <row r="906" spans="1:20" x14ac:dyDescent="0.25">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t="s">
        <v>47</v>
      </c>
      <c r="T906" t="s">
        <v>77</v>
      </c>
    </row>
    <row r="907" spans="1:20" x14ac:dyDescent="0.25">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t="s">
        <v>47</v>
      </c>
      <c r="T907" t="s">
        <v>77</v>
      </c>
    </row>
    <row r="908" spans="1:20" x14ac:dyDescent="0.25">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t="s">
        <v>430</v>
      </c>
      <c r="T908" t="s">
        <v>96</v>
      </c>
    </row>
    <row r="909" spans="1:20" x14ac:dyDescent="0.25">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t="s">
        <v>430</v>
      </c>
      <c r="T909" t="s">
        <v>96</v>
      </c>
    </row>
    <row r="910" spans="1:20" x14ac:dyDescent="0.25">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t="s">
        <v>58</v>
      </c>
      <c r="T910" t="s">
        <v>113</v>
      </c>
    </row>
    <row r="911" spans="1:20" x14ac:dyDescent="0.25">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t="s">
        <v>58</v>
      </c>
      <c r="T911" t="s">
        <v>113</v>
      </c>
    </row>
    <row r="912" spans="1:20" x14ac:dyDescent="0.25">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t="s">
        <v>58</v>
      </c>
      <c r="T912" t="s">
        <v>48</v>
      </c>
    </row>
    <row r="913" spans="1:20" x14ac:dyDescent="0.25">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t="s">
        <v>47</v>
      </c>
      <c r="T913" t="s">
        <v>71</v>
      </c>
    </row>
    <row r="914" spans="1:20" x14ac:dyDescent="0.25">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t="s">
        <v>47</v>
      </c>
      <c r="T914" t="s">
        <v>71</v>
      </c>
    </row>
    <row r="915" spans="1:20" x14ac:dyDescent="0.25">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t="s">
        <v>70</v>
      </c>
      <c r="T915" t="s">
        <v>34</v>
      </c>
    </row>
    <row r="916" spans="1:20" x14ac:dyDescent="0.25">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t="s">
        <v>83</v>
      </c>
      <c r="T916" t="s">
        <v>71</v>
      </c>
    </row>
    <row r="917" spans="1:20" x14ac:dyDescent="0.25">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t="s">
        <v>83</v>
      </c>
      <c r="T917" t="s">
        <v>71</v>
      </c>
    </row>
    <row r="918" spans="1:20" x14ac:dyDescent="0.25">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t="s">
        <v>430</v>
      </c>
      <c r="T918" t="s">
        <v>195</v>
      </c>
    </row>
    <row r="919" spans="1:20" x14ac:dyDescent="0.25">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t="s">
        <v>47</v>
      </c>
      <c r="T919" t="s">
        <v>96</v>
      </c>
    </row>
    <row r="920" spans="1:20" x14ac:dyDescent="0.25">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t="s">
        <v>123</v>
      </c>
      <c r="T920" t="s">
        <v>161</v>
      </c>
    </row>
    <row r="921" spans="1:20" x14ac:dyDescent="0.25">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t="s">
        <v>129</v>
      </c>
      <c r="T921" t="s">
        <v>195</v>
      </c>
    </row>
    <row r="922" spans="1:20" x14ac:dyDescent="0.25">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t="s">
        <v>58</v>
      </c>
      <c r="T922" t="s">
        <v>34</v>
      </c>
    </row>
    <row r="923" spans="1:20" x14ac:dyDescent="0.25">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t="s">
        <v>58</v>
      </c>
      <c r="T923" t="s">
        <v>34</v>
      </c>
    </row>
    <row r="924" spans="1:20" x14ac:dyDescent="0.25">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t="s">
        <v>83</v>
      </c>
      <c r="T924" t="s">
        <v>59</v>
      </c>
    </row>
    <row r="925" spans="1:20" x14ac:dyDescent="0.25">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t="s">
        <v>70</v>
      </c>
      <c r="T925" t="s">
        <v>71</v>
      </c>
    </row>
    <row r="926" spans="1:20" x14ac:dyDescent="0.25">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t="s">
        <v>70</v>
      </c>
      <c r="T926" t="s">
        <v>71</v>
      </c>
    </row>
    <row r="927" spans="1:20" x14ac:dyDescent="0.25">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t="s">
        <v>58</v>
      </c>
      <c r="T927" t="s">
        <v>77</v>
      </c>
    </row>
    <row r="928" spans="1:20" x14ac:dyDescent="0.25">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t="s">
        <v>33</v>
      </c>
      <c r="T928" t="s">
        <v>77</v>
      </c>
    </row>
    <row r="929" spans="1:20" x14ac:dyDescent="0.25">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t="s">
        <v>47</v>
      </c>
      <c r="T929" t="s">
        <v>34</v>
      </c>
    </row>
    <row r="930" spans="1:20" x14ac:dyDescent="0.25">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t="s">
        <v>83</v>
      </c>
      <c r="T930" t="s">
        <v>161</v>
      </c>
    </row>
    <row r="931" spans="1:20" x14ac:dyDescent="0.25">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t="s">
        <v>430</v>
      </c>
      <c r="T931" t="s">
        <v>77</v>
      </c>
    </row>
    <row r="932" spans="1:20" x14ac:dyDescent="0.25">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t="s">
        <v>430</v>
      </c>
      <c r="T932" t="s">
        <v>77</v>
      </c>
    </row>
    <row r="933" spans="1:20" x14ac:dyDescent="0.25">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t="s">
        <v>430</v>
      </c>
      <c r="T933" t="s">
        <v>77</v>
      </c>
    </row>
    <row r="934" spans="1:20" x14ac:dyDescent="0.25">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t="s">
        <v>430</v>
      </c>
      <c r="T934" t="s">
        <v>48</v>
      </c>
    </row>
    <row r="935" spans="1:20" x14ac:dyDescent="0.25">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t="s">
        <v>47</v>
      </c>
      <c r="T935" t="s">
        <v>253</v>
      </c>
    </row>
    <row r="936" spans="1:20" x14ac:dyDescent="0.25">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t="s">
        <v>70</v>
      </c>
      <c r="T936" t="s">
        <v>96</v>
      </c>
    </row>
    <row r="937" spans="1:20" x14ac:dyDescent="0.25">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t="s">
        <v>70</v>
      </c>
      <c r="T937" t="s">
        <v>96</v>
      </c>
    </row>
    <row r="938" spans="1:20" x14ac:dyDescent="0.25">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t="s">
        <v>58</v>
      </c>
      <c r="T938" t="s">
        <v>59</v>
      </c>
    </row>
    <row r="939" spans="1:20" x14ac:dyDescent="0.25">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t="s">
        <v>58</v>
      </c>
      <c r="T939" t="s">
        <v>96</v>
      </c>
    </row>
    <row r="940" spans="1:20" x14ac:dyDescent="0.25">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t="s">
        <v>129</v>
      </c>
      <c r="T940" t="s">
        <v>161</v>
      </c>
    </row>
    <row r="941" spans="1:20" x14ac:dyDescent="0.25">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t="s">
        <v>83</v>
      </c>
      <c r="T941" t="s">
        <v>34</v>
      </c>
    </row>
    <row r="942" spans="1:20" x14ac:dyDescent="0.25">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t="s">
        <v>58</v>
      </c>
      <c r="T942" t="s">
        <v>48</v>
      </c>
    </row>
    <row r="943" spans="1:20" x14ac:dyDescent="0.25">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t="s">
        <v>129</v>
      </c>
      <c r="T943" t="s">
        <v>297</v>
      </c>
    </row>
    <row r="944" spans="1:20" x14ac:dyDescent="0.25">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t="s">
        <v>83</v>
      </c>
      <c r="T944" t="s">
        <v>34</v>
      </c>
    </row>
    <row r="945" spans="1:20" x14ac:dyDescent="0.25">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t="s">
        <v>129</v>
      </c>
      <c r="T945" t="s">
        <v>71</v>
      </c>
    </row>
    <row r="946" spans="1:20" x14ac:dyDescent="0.25">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t="s">
        <v>33</v>
      </c>
      <c r="T946" t="s">
        <v>34</v>
      </c>
    </row>
    <row r="947" spans="1:20" x14ac:dyDescent="0.25">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t="s">
        <v>430</v>
      </c>
      <c r="T947" t="s">
        <v>48</v>
      </c>
    </row>
    <row r="948" spans="1:20" x14ac:dyDescent="0.25">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t="s">
        <v>83</v>
      </c>
      <c r="T948" t="s">
        <v>71</v>
      </c>
    </row>
    <row r="949" spans="1:20" x14ac:dyDescent="0.25">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t="s">
        <v>33</v>
      </c>
      <c r="T949" t="s">
        <v>297</v>
      </c>
    </row>
    <row r="950" spans="1:20" x14ac:dyDescent="0.25">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t="s">
        <v>58</v>
      </c>
      <c r="T950" t="s">
        <v>71</v>
      </c>
    </row>
    <row r="951" spans="1:20" x14ac:dyDescent="0.25">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t="s">
        <v>58</v>
      </c>
      <c r="T951" t="s">
        <v>71</v>
      </c>
    </row>
    <row r="952" spans="1:20" x14ac:dyDescent="0.25">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t="s">
        <v>83</v>
      </c>
      <c r="T952" t="s">
        <v>71</v>
      </c>
    </row>
    <row r="953" spans="1:20" x14ac:dyDescent="0.25">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t="s">
        <v>129</v>
      </c>
      <c r="T953" t="s">
        <v>96</v>
      </c>
    </row>
    <row r="954" spans="1:20" x14ac:dyDescent="0.25">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t="s">
        <v>33</v>
      </c>
      <c r="T954" t="s">
        <v>161</v>
      </c>
    </row>
    <row r="955" spans="1:20" x14ac:dyDescent="0.25">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t="s">
        <v>58</v>
      </c>
      <c r="T955" t="s">
        <v>96</v>
      </c>
    </row>
    <row r="956" spans="1:20" x14ac:dyDescent="0.25">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t="s">
        <v>83</v>
      </c>
      <c r="T956" t="s">
        <v>77</v>
      </c>
    </row>
    <row r="957" spans="1:20" x14ac:dyDescent="0.25">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t="s">
        <v>70</v>
      </c>
      <c r="T957" t="s">
        <v>113</v>
      </c>
    </row>
    <row r="958" spans="1:20" x14ac:dyDescent="0.25">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t="s">
        <v>129</v>
      </c>
      <c r="T958" t="s">
        <v>96</v>
      </c>
    </row>
    <row r="959" spans="1:20" x14ac:dyDescent="0.25">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t="s">
        <v>33</v>
      </c>
      <c r="T959" t="s">
        <v>77</v>
      </c>
    </row>
    <row r="960" spans="1:20" x14ac:dyDescent="0.25">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t="s">
        <v>70</v>
      </c>
      <c r="T960" t="s">
        <v>34</v>
      </c>
    </row>
    <row r="961" spans="1:20" x14ac:dyDescent="0.25">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t="s">
        <v>58</v>
      </c>
      <c r="T961" t="s">
        <v>96</v>
      </c>
    </row>
    <row r="962" spans="1:20" x14ac:dyDescent="0.25">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t="s">
        <v>58</v>
      </c>
      <c r="T962" t="s">
        <v>96</v>
      </c>
    </row>
    <row r="963" spans="1:20" x14ac:dyDescent="0.25">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t="s">
        <v>83</v>
      </c>
      <c r="T963" t="s">
        <v>71</v>
      </c>
    </row>
    <row r="964" spans="1:20" x14ac:dyDescent="0.25">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t="s">
        <v>58</v>
      </c>
      <c r="T964" t="s">
        <v>34</v>
      </c>
    </row>
    <row r="965" spans="1:20" x14ac:dyDescent="0.25">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t="s">
        <v>58</v>
      </c>
      <c r="T965" t="s">
        <v>77</v>
      </c>
    </row>
    <row r="966" spans="1:20" x14ac:dyDescent="0.25">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t="s">
        <v>58</v>
      </c>
      <c r="T966" t="s">
        <v>77</v>
      </c>
    </row>
    <row r="967" spans="1:20" x14ac:dyDescent="0.25">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t="s">
        <v>430</v>
      </c>
      <c r="T967" t="s">
        <v>48</v>
      </c>
    </row>
    <row r="968" spans="1:20" x14ac:dyDescent="0.25">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t="s">
        <v>58</v>
      </c>
      <c r="T968" t="s">
        <v>253</v>
      </c>
    </row>
    <row r="969" spans="1:20" x14ac:dyDescent="0.25">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t="s">
        <v>58</v>
      </c>
      <c r="T969" t="s">
        <v>253</v>
      </c>
    </row>
    <row r="970" spans="1:20" x14ac:dyDescent="0.25">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t="s">
        <v>70</v>
      </c>
      <c r="T970" t="s">
        <v>48</v>
      </c>
    </row>
    <row r="971" spans="1:20" x14ac:dyDescent="0.25">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t="s">
        <v>83</v>
      </c>
      <c r="T971" t="s">
        <v>253</v>
      </c>
    </row>
    <row r="972" spans="1:20" x14ac:dyDescent="0.25">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t="s">
        <v>58</v>
      </c>
      <c r="T972" t="s">
        <v>113</v>
      </c>
    </row>
    <row r="973" spans="1:20" x14ac:dyDescent="0.25">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t="s">
        <v>83</v>
      </c>
      <c r="T973" t="s">
        <v>161</v>
      </c>
    </row>
    <row r="974" spans="1:20" x14ac:dyDescent="0.25">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t="s">
        <v>47</v>
      </c>
      <c r="T974" t="s">
        <v>169</v>
      </c>
    </row>
    <row r="975" spans="1:20" x14ac:dyDescent="0.25">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t="s">
        <v>58</v>
      </c>
      <c r="T975" t="s">
        <v>161</v>
      </c>
    </row>
    <row r="976" spans="1:20" x14ac:dyDescent="0.25">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t="s">
        <v>129</v>
      </c>
      <c r="T976" t="s">
        <v>71</v>
      </c>
    </row>
    <row r="977" spans="1:20" x14ac:dyDescent="0.25">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t="s">
        <v>70</v>
      </c>
      <c r="T977" t="s">
        <v>195</v>
      </c>
    </row>
    <row r="978" spans="1:20" x14ac:dyDescent="0.25">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t="s">
        <v>58</v>
      </c>
      <c r="T978" t="s">
        <v>253</v>
      </c>
    </row>
    <row r="979" spans="1:20" x14ac:dyDescent="0.25">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t="s">
        <v>58</v>
      </c>
      <c r="T979" t="s">
        <v>253</v>
      </c>
    </row>
    <row r="980" spans="1:20" x14ac:dyDescent="0.25">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t="s">
        <v>70</v>
      </c>
      <c r="T980" t="s">
        <v>96</v>
      </c>
    </row>
    <row r="981" spans="1:20" x14ac:dyDescent="0.25">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t="s">
        <v>70</v>
      </c>
      <c r="T981" t="s">
        <v>96</v>
      </c>
    </row>
    <row r="982" spans="1:20" x14ac:dyDescent="0.25">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t="s">
        <v>430</v>
      </c>
      <c r="T982" t="s">
        <v>96</v>
      </c>
    </row>
    <row r="983" spans="1:20" x14ac:dyDescent="0.25">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t="s">
        <v>430</v>
      </c>
      <c r="T983" t="s">
        <v>96</v>
      </c>
    </row>
    <row r="984" spans="1:20" x14ac:dyDescent="0.25">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t="s">
        <v>430</v>
      </c>
      <c r="T984" t="s">
        <v>96</v>
      </c>
    </row>
    <row r="985" spans="1:20" x14ac:dyDescent="0.25">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t="s">
        <v>430</v>
      </c>
      <c r="T985" t="s">
        <v>96</v>
      </c>
    </row>
    <row r="986" spans="1:20" x14ac:dyDescent="0.25">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t="s">
        <v>129</v>
      </c>
      <c r="T986" t="s">
        <v>161</v>
      </c>
    </row>
    <row r="987" spans="1:20" x14ac:dyDescent="0.25">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t="s">
        <v>123</v>
      </c>
      <c r="T987" t="s">
        <v>161</v>
      </c>
    </row>
    <row r="988" spans="1:20" x14ac:dyDescent="0.25">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t="s">
        <v>58</v>
      </c>
      <c r="T988" t="s">
        <v>96</v>
      </c>
    </row>
    <row r="989" spans="1:20" x14ac:dyDescent="0.25">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t="s">
        <v>83</v>
      </c>
      <c r="T989" t="s">
        <v>96</v>
      </c>
    </row>
    <row r="990" spans="1:20" x14ac:dyDescent="0.25">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t="s">
        <v>83</v>
      </c>
      <c r="T990" t="s">
        <v>59</v>
      </c>
    </row>
    <row r="991" spans="1:20" x14ac:dyDescent="0.25">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t="s">
        <v>83</v>
      </c>
      <c r="T991" t="s">
        <v>34</v>
      </c>
    </row>
    <row r="992" spans="1:20" x14ac:dyDescent="0.25">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t="s">
        <v>70</v>
      </c>
      <c r="T992" t="s">
        <v>195</v>
      </c>
    </row>
    <row r="993" spans="1:20" x14ac:dyDescent="0.25">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t="s">
        <v>58</v>
      </c>
      <c r="T993" t="s">
        <v>113</v>
      </c>
    </row>
    <row r="994" spans="1:20" x14ac:dyDescent="0.25">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t="s">
        <v>129</v>
      </c>
      <c r="T994" t="s">
        <v>297</v>
      </c>
    </row>
    <row r="995" spans="1:20" x14ac:dyDescent="0.25">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t="s">
        <v>430</v>
      </c>
      <c r="T995" t="s">
        <v>195</v>
      </c>
    </row>
    <row r="996" spans="1:20" x14ac:dyDescent="0.25">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t="s">
        <v>83</v>
      </c>
      <c r="T996" t="s">
        <v>34</v>
      </c>
    </row>
    <row r="997" spans="1:20" x14ac:dyDescent="0.25">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t="s">
        <v>83</v>
      </c>
      <c r="T997" t="s">
        <v>34</v>
      </c>
    </row>
    <row r="998" spans="1:20" x14ac:dyDescent="0.25">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t="s">
        <v>70</v>
      </c>
      <c r="T998" t="s">
        <v>71</v>
      </c>
    </row>
    <row r="999" spans="1:20" x14ac:dyDescent="0.25">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t="s">
        <v>58</v>
      </c>
      <c r="T999" t="s">
        <v>34</v>
      </c>
    </row>
    <row r="1000" spans="1:20" x14ac:dyDescent="0.25">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t="s">
        <v>58</v>
      </c>
      <c r="T1000" t="s">
        <v>96</v>
      </c>
    </row>
    <row r="1001" spans="1:20" x14ac:dyDescent="0.25">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t="s">
        <v>58</v>
      </c>
      <c r="T1001" t="s">
        <v>96</v>
      </c>
    </row>
    <row r="1002" spans="1:20" x14ac:dyDescent="0.25">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t="s">
        <v>58</v>
      </c>
      <c r="T1002" t="s">
        <v>96</v>
      </c>
    </row>
    <row r="1003" spans="1:20" x14ac:dyDescent="0.25">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t="s">
        <v>58</v>
      </c>
      <c r="T1003" t="s">
        <v>96</v>
      </c>
    </row>
    <row r="1004" spans="1:20" x14ac:dyDescent="0.25">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t="s">
        <v>47</v>
      </c>
      <c r="T1004" t="s">
        <v>195</v>
      </c>
    </row>
    <row r="1005" spans="1:20" x14ac:dyDescent="0.25">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t="s">
        <v>58</v>
      </c>
      <c r="T1005" t="s">
        <v>161</v>
      </c>
    </row>
    <row r="1006" spans="1:20" x14ac:dyDescent="0.25">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t="s">
        <v>83</v>
      </c>
      <c r="T1006" t="s">
        <v>71</v>
      </c>
    </row>
    <row r="1007" spans="1:20" x14ac:dyDescent="0.25">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t="s">
        <v>58</v>
      </c>
      <c r="T1007" t="s">
        <v>34</v>
      </c>
    </row>
    <row r="1008" spans="1:20" x14ac:dyDescent="0.25">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t="s">
        <v>58</v>
      </c>
      <c r="T1008" t="s">
        <v>34</v>
      </c>
    </row>
    <row r="1009" spans="1:20" x14ac:dyDescent="0.25">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t="s">
        <v>58</v>
      </c>
      <c r="T1009" t="s">
        <v>34</v>
      </c>
    </row>
    <row r="1010" spans="1:20" x14ac:dyDescent="0.25">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t="s">
        <v>58</v>
      </c>
      <c r="T1010" t="s">
        <v>34</v>
      </c>
    </row>
    <row r="1011" spans="1:20" x14ac:dyDescent="0.25">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t="s">
        <v>58</v>
      </c>
      <c r="T1011" t="s">
        <v>34</v>
      </c>
    </row>
    <row r="1012" spans="1:20" x14ac:dyDescent="0.25">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t="s">
        <v>129</v>
      </c>
      <c r="T1012" t="s">
        <v>77</v>
      </c>
    </row>
    <row r="1013" spans="1:20" x14ac:dyDescent="0.25">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t="s">
        <v>33</v>
      </c>
      <c r="T1013" t="s">
        <v>96</v>
      </c>
    </row>
    <row r="1014" spans="1:20" x14ac:dyDescent="0.25">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t="s">
        <v>33</v>
      </c>
      <c r="T1014" t="s">
        <v>96</v>
      </c>
    </row>
    <row r="1015" spans="1:20" x14ac:dyDescent="0.25">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t="s">
        <v>83</v>
      </c>
      <c r="T1015" t="s">
        <v>169</v>
      </c>
    </row>
    <row r="1016" spans="1:20" x14ac:dyDescent="0.25">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t="s">
        <v>83</v>
      </c>
      <c r="T1016" t="s">
        <v>169</v>
      </c>
    </row>
    <row r="1017" spans="1:20" x14ac:dyDescent="0.25">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t="s">
        <v>58</v>
      </c>
      <c r="T1017" t="s">
        <v>34</v>
      </c>
    </row>
    <row r="1018" spans="1:20" x14ac:dyDescent="0.25">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t="s">
        <v>33</v>
      </c>
      <c r="T1018" t="s">
        <v>34</v>
      </c>
    </row>
    <row r="1019" spans="1:20" x14ac:dyDescent="0.25">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t="s">
        <v>33</v>
      </c>
      <c r="T1019" t="s">
        <v>34</v>
      </c>
    </row>
    <row r="1020" spans="1:20" x14ac:dyDescent="0.25">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t="s">
        <v>70</v>
      </c>
      <c r="T1020" t="s">
        <v>48</v>
      </c>
    </row>
    <row r="1021" spans="1:20" x14ac:dyDescent="0.25">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t="s">
        <v>70</v>
      </c>
      <c r="T1021" t="s">
        <v>96</v>
      </c>
    </row>
    <row r="1022" spans="1:20" x14ac:dyDescent="0.25">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t="s">
        <v>70</v>
      </c>
      <c r="T1022" t="s">
        <v>48</v>
      </c>
    </row>
    <row r="1023" spans="1:20" x14ac:dyDescent="0.25">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t="s">
        <v>58</v>
      </c>
      <c r="T1023" t="s">
        <v>169</v>
      </c>
    </row>
    <row r="1024" spans="1:20" x14ac:dyDescent="0.25">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t="s">
        <v>83</v>
      </c>
      <c r="T1024" t="s">
        <v>48</v>
      </c>
    </row>
    <row r="1025" spans="1:20" x14ac:dyDescent="0.25">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t="s">
        <v>58</v>
      </c>
      <c r="T1025" t="s">
        <v>96</v>
      </c>
    </row>
    <row r="1026" spans="1:20" x14ac:dyDescent="0.25">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t="s">
        <v>58</v>
      </c>
      <c r="T1026" t="s">
        <v>169</v>
      </c>
    </row>
    <row r="1027" spans="1:20" x14ac:dyDescent="0.25">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t="s">
        <v>47</v>
      </c>
      <c r="T1027" t="s">
        <v>297</v>
      </c>
    </row>
    <row r="1028" spans="1:20" x14ac:dyDescent="0.25">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t="s">
        <v>47</v>
      </c>
      <c r="T1028" t="s">
        <v>297</v>
      </c>
    </row>
    <row r="1029" spans="1:20" x14ac:dyDescent="0.25">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t="s">
        <v>58</v>
      </c>
      <c r="T1029" t="s">
        <v>34</v>
      </c>
    </row>
    <row r="1030" spans="1:20" x14ac:dyDescent="0.25">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t="s">
        <v>83</v>
      </c>
      <c r="T1030" t="s">
        <v>59</v>
      </c>
    </row>
    <row r="1031" spans="1:20" x14ac:dyDescent="0.25">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t="s">
        <v>123</v>
      </c>
      <c r="T1031" t="s">
        <v>195</v>
      </c>
    </row>
    <row r="1032" spans="1:20" x14ac:dyDescent="0.25">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t="s">
        <v>33</v>
      </c>
      <c r="T1032" t="s">
        <v>253</v>
      </c>
    </row>
    <row r="1033" spans="1:20" x14ac:dyDescent="0.25">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t="s">
        <v>33</v>
      </c>
      <c r="T1033" t="s">
        <v>34</v>
      </c>
    </row>
    <row r="1034" spans="1:20" x14ac:dyDescent="0.25">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t="s">
        <v>33</v>
      </c>
      <c r="T1034" t="s">
        <v>34</v>
      </c>
    </row>
    <row r="1035" spans="1:20" x14ac:dyDescent="0.25">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t="s">
        <v>83</v>
      </c>
      <c r="T1035" t="s">
        <v>113</v>
      </c>
    </row>
    <row r="1036" spans="1:20" x14ac:dyDescent="0.25">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t="s">
        <v>47</v>
      </c>
      <c r="T1036" t="s">
        <v>96</v>
      </c>
    </row>
    <row r="1037" spans="1:20" x14ac:dyDescent="0.25">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t="s">
        <v>70</v>
      </c>
      <c r="T1037" t="s">
        <v>161</v>
      </c>
    </row>
    <row r="1038" spans="1:20" x14ac:dyDescent="0.25">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t="s">
        <v>58</v>
      </c>
      <c r="T1038" t="s">
        <v>34</v>
      </c>
    </row>
    <row r="1039" spans="1:20" x14ac:dyDescent="0.25">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t="s">
        <v>33</v>
      </c>
      <c r="T1039" t="s">
        <v>34</v>
      </c>
    </row>
    <row r="1040" spans="1:20" x14ac:dyDescent="0.25">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t="s">
        <v>129</v>
      </c>
      <c r="T1040" t="s">
        <v>96</v>
      </c>
    </row>
    <row r="1041" spans="1:20" x14ac:dyDescent="0.25">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t="s">
        <v>58</v>
      </c>
      <c r="T1041" t="s">
        <v>71</v>
      </c>
    </row>
    <row r="1042" spans="1:20" x14ac:dyDescent="0.25">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t="s">
        <v>47</v>
      </c>
      <c r="T1042" t="s">
        <v>96</v>
      </c>
    </row>
    <row r="1043" spans="1:20" x14ac:dyDescent="0.25">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t="s">
        <v>83</v>
      </c>
      <c r="T1043" t="s">
        <v>253</v>
      </c>
    </row>
    <row r="1044" spans="1:20" x14ac:dyDescent="0.25">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t="s">
        <v>129</v>
      </c>
      <c r="T1044" t="s">
        <v>113</v>
      </c>
    </row>
    <row r="1045" spans="1:20" x14ac:dyDescent="0.25">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t="s">
        <v>123</v>
      </c>
      <c r="T1045" t="s">
        <v>71</v>
      </c>
    </row>
    <row r="1046" spans="1:20" x14ac:dyDescent="0.25">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t="s">
        <v>33</v>
      </c>
      <c r="T1046" t="s">
        <v>34</v>
      </c>
    </row>
    <row r="1047" spans="1:20" x14ac:dyDescent="0.25">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t="s">
        <v>58</v>
      </c>
      <c r="T1047" t="s">
        <v>169</v>
      </c>
    </row>
    <row r="1048" spans="1:20" x14ac:dyDescent="0.25">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t="s">
        <v>83</v>
      </c>
      <c r="T1048" t="s">
        <v>161</v>
      </c>
    </row>
    <row r="1049" spans="1:20" x14ac:dyDescent="0.25">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t="s">
        <v>47</v>
      </c>
      <c r="T1049" t="s">
        <v>34</v>
      </c>
    </row>
    <row r="1050" spans="1:20" x14ac:dyDescent="0.25">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t="s">
        <v>83</v>
      </c>
      <c r="T1050" t="s">
        <v>253</v>
      </c>
    </row>
    <row r="1051" spans="1:20" x14ac:dyDescent="0.25">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t="s">
        <v>70</v>
      </c>
      <c r="T1051" t="s">
        <v>113</v>
      </c>
    </row>
    <row r="1052" spans="1:20" x14ac:dyDescent="0.25">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t="s">
        <v>70</v>
      </c>
      <c r="T1052" t="s">
        <v>113</v>
      </c>
    </row>
    <row r="1053" spans="1:20" x14ac:dyDescent="0.25">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t="s">
        <v>83</v>
      </c>
      <c r="T1053" t="s">
        <v>34</v>
      </c>
    </row>
    <row r="1054" spans="1:20" x14ac:dyDescent="0.25">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t="s">
        <v>83</v>
      </c>
      <c r="T1054" t="s">
        <v>96</v>
      </c>
    </row>
    <row r="1055" spans="1:20" x14ac:dyDescent="0.25">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t="s">
        <v>83</v>
      </c>
      <c r="T1055" t="s">
        <v>96</v>
      </c>
    </row>
    <row r="1056" spans="1:20" x14ac:dyDescent="0.25">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t="s">
        <v>129</v>
      </c>
      <c r="T1056" t="s">
        <v>96</v>
      </c>
    </row>
    <row r="1057" spans="1:20" x14ac:dyDescent="0.25">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t="s">
        <v>430</v>
      </c>
      <c r="T1057" t="s">
        <v>34</v>
      </c>
    </row>
    <row r="1058" spans="1:20" x14ac:dyDescent="0.25">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t="s">
        <v>430</v>
      </c>
      <c r="T1058" t="s">
        <v>77</v>
      </c>
    </row>
    <row r="1059" spans="1:20" x14ac:dyDescent="0.25">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t="s">
        <v>47</v>
      </c>
      <c r="T1059" t="s">
        <v>96</v>
      </c>
    </row>
    <row r="1060" spans="1:20" x14ac:dyDescent="0.25">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t="s">
        <v>83</v>
      </c>
      <c r="T1060" t="s">
        <v>34</v>
      </c>
    </row>
    <row r="1061" spans="1:20" x14ac:dyDescent="0.25">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t="s">
        <v>83</v>
      </c>
      <c r="T1061" t="s">
        <v>113</v>
      </c>
    </row>
    <row r="1062" spans="1:20" x14ac:dyDescent="0.25">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t="s">
        <v>58</v>
      </c>
      <c r="T1062" t="s">
        <v>297</v>
      </c>
    </row>
    <row r="1063" spans="1:20" x14ac:dyDescent="0.25">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t="s">
        <v>47</v>
      </c>
      <c r="T1063" t="s">
        <v>96</v>
      </c>
    </row>
    <row r="1064" spans="1:20" x14ac:dyDescent="0.25">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t="s">
        <v>47</v>
      </c>
      <c r="T1064" t="s">
        <v>96</v>
      </c>
    </row>
    <row r="1065" spans="1:20" x14ac:dyDescent="0.25">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t="s">
        <v>123</v>
      </c>
      <c r="T1065" t="s">
        <v>253</v>
      </c>
    </row>
    <row r="1066" spans="1:20" x14ac:dyDescent="0.25">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t="s">
        <v>83</v>
      </c>
      <c r="T1066" t="s">
        <v>59</v>
      </c>
    </row>
    <row r="1067" spans="1:20" x14ac:dyDescent="0.25">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t="s">
        <v>83</v>
      </c>
      <c r="T1067" t="s">
        <v>59</v>
      </c>
    </row>
    <row r="1068" spans="1:20" x14ac:dyDescent="0.25">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t="s">
        <v>129</v>
      </c>
      <c r="T1068" t="s">
        <v>71</v>
      </c>
    </row>
    <row r="1069" spans="1:20" x14ac:dyDescent="0.25">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t="s">
        <v>58</v>
      </c>
      <c r="T1069" t="s">
        <v>34</v>
      </c>
    </row>
    <row r="1070" spans="1:20" x14ac:dyDescent="0.25">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t="s">
        <v>58</v>
      </c>
      <c r="T1070" t="s">
        <v>71</v>
      </c>
    </row>
    <row r="1071" spans="1:20" x14ac:dyDescent="0.25">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t="s">
        <v>129</v>
      </c>
      <c r="T1071" t="s">
        <v>34</v>
      </c>
    </row>
    <row r="1072" spans="1:20" x14ac:dyDescent="0.25">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t="s">
        <v>70</v>
      </c>
      <c r="T1072" t="s">
        <v>161</v>
      </c>
    </row>
    <row r="1073" spans="1:20" x14ac:dyDescent="0.25">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t="s">
        <v>58</v>
      </c>
      <c r="T1073" t="s">
        <v>48</v>
      </c>
    </row>
    <row r="1074" spans="1:20" x14ac:dyDescent="0.25">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t="s">
        <v>129</v>
      </c>
      <c r="T1074" t="s">
        <v>113</v>
      </c>
    </row>
    <row r="1075" spans="1:20" x14ac:dyDescent="0.25">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t="s">
        <v>58</v>
      </c>
      <c r="T1075" t="s">
        <v>77</v>
      </c>
    </row>
    <row r="1076" spans="1:20" x14ac:dyDescent="0.25">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t="s">
        <v>33</v>
      </c>
      <c r="T1076" t="s">
        <v>34</v>
      </c>
    </row>
    <row r="1077" spans="1:20" x14ac:dyDescent="0.25">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t="s">
        <v>83</v>
      </c>
      <c r="T1077" t="s">
        <v>253</v>
      </c>
    </row>
    <row r="1078" spans="1:20" x14ac:dyDescent="0.25">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t="s">
        <v>430</v>
      </c>
      <c r="T1078" t="s">
        <v>77</v>
      </c>
    </row>
    <row r="1079" spans="1:20" x14ac:dyDescent="0.25">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t="s">
        <v>129</v>
      </c>
      <c r="T1079" t="s">
        <v>59</v>
      </c>
    </row>
    <row r="1080" spans="1:20" x14ac:dyDescent="0.25">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t="s">
        <v>58</v>
      </c>
      <c r="T1080" t="s">
        <v>59</v>
      </c>
    </row>
    <row r="1081" spans="1:20" x14ac:dyDescent="0.25">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t="s">
        <v>33</v>
      </c>
      <c r="T1081" t="s">
        <v>195</v>
      </c>
    </row>
    <row r="1082" spans="1:20" x14ac:dyDescent="0.25">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t="s">
        <v>33</v>
      </c>
      <c r="T1082" t="s">
        <v>195</v>
      </c>
    </row>
    <row r="1083" spans="1:20" x14ac:dyDescent="0.25">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t="s">
        <v>83</v>
      </c>
      <c r="T1083" t="s">
        <v>48</v>
      </c>
    </row>
    <row r="1084" spans="1:20" x14ac:dyDescent="0.25">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t="s">
        <v>123</v>
      </c>
      <c r="T1084" t="s">
        <v>253</v>
      </c>
    </row>
    <row r="1085" spans="1:20" x14ac:dyDescent="0.25">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t="s">
        <v>83</v>
      </c>
      <c r="T1085" t="s">
        <v>77</v>
      </c>
    </row>
    <row r="1086" spans="1:20" x14ac:dyDescent="0.25">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t="s">
        <v>83</v>
      </c>
      <c r="T1086" t="s">
        <v>77</v>
      </c>
    </row>
    <row r="1087" spans="1:20" x14ac:dyDescent="0.25">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t="s">
        <v>70</v>
      </c>
      <c r="T1087" t="s">
        <v>253</v>
      </c>
    </row>
    <row r="1088" spans="1:20" x14ac:dyDescent="0.25">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t="s">
        <v>70</v>
      </c>
      <c r="T1088" t="s">
        <v>195</v>
      </c>
    </row>
    <row r="1089" spans="1:20" x14ac:dyDescent="0.25">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t="s">
        <v>70</v>
      </c>
      <c r="T1089" t="s">
        <v>195</v>
      </c>
    </row>
    <row r="1090" spans="1:20" x14ac:dyDescent="0.25">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t="s">
        <v>33</v>
      </c>
      <c r="T1090" t="s">
        <v>77</v>
      </c>
    </row>
    <row r="1091" spans="1:20" x14ac:dyDescent="0.25">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t="s">
        <v>430</v>
      </c>
      <c r="T1091" t="s">
        <v>77</v>
      </c>
    </row>
    <row r="1092" spans="1:20" x14ac:dyDescent="0.25">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t="s">
        <v>430</v>
      </c>
      <c r="T1092" t="s">
        <v>169</v>
      </c>
    </row>
    <row r="1093" spans="1:20" x14ac:dyDescent="0.25">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t="s">
        <v>430</v>
      </c>
      <c r="T1093" t="s">
        <v>169</v>
      </c>
    </row>
    <row r="1094" spans="1:20" x14ac:dyDescent="0.25">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t="s">
        <v>70</v>
      </c>
      <c r="T1094" t="s">
        <v>34</v>
      </c>
    </row>
    <row r="1095" spans="1:20" x14ac:dyDescent="0.25">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t="s">
        <v>83</v>
      </c>
      <c r="T1095" t="s">
        <v>77</v>
      </c>
    </row>
    <row r="1096" spans="1:20" x14ac:dyDescent="0.25">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t="s">
        <v>58</v>
      </c>
      <c r="T1096" t="s">
        <v>77</v>
      </c>
    </row>
    <row r="1097" spans="1:20" x14ac:dyDescent="0.25">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t="s">
        <v>123</v>
      </c>
      <c r="T1097" t="s">
        <v>161</v>
      </c>
    </row>
    <row r="1098" spans="1:20" x14ac:dyDescent="0.25">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t="s">
        <v>47</v>
      </c>
      <c r="T1098" t="s">
        <v>77</v>
      </c>
    </row>
    <row r="1099" spans="1:20" x14ac:dyDescent="0.25">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t="s">
        <v>83</v>
      </c>
      <c r="T1099" t="s">
        <v>96</v>
      </c>
    </row>
    <row r="1100" spans="1:20" x14ac:dyDescent="0.25">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t="s">
        <v>83</v>
      </c>
      <c r="T1100" t="s">
        <v>71</v>
      </c>
    </row>
    <row r="1101" spans="1:20" x14ac:dyDescent="0.25">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t="s">
        <v>83</v>
      </c>
      <c r="T1101" t="s">
        <v>161</v>
      </c>
    </row>
    <row r="1102" spans="1:20" x14ac:dyDescent="0.25">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t="s">
        <v>83</v>
      </c>
      <c r="T1102" t="s">
        <v>34</v>
      </c>
    </row>
    <row r="1103" spans="1:20" x14ac:dyDescent="0.25">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t="s">
        <v>70</v>
      </c>
      <c r="T1103" t="s">
        <v>77</v>
      </c>
    </row>
    <row r="1104" spans="1:20" x14ac:dyDescent="0.25">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t="s">
        <v>58</v>
      </c>
      <c r="T1104" t="s">
        <v>297</v>
      </c>
    </row>
    <row r="1105" spans="1:20" x14ac:dyDescent="0.25">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t="s">
        <v>70</v>
      </c>
      <c r="T1105" t="s">
        <v>34</v>
      </c>
    </row>
    <row r="1106" spans="1:20" x14ac:dyDescent="0.25">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t="s">
        <v>58</v>
      </c>
      <c r="T1106" t="s">
        <v>113</v>
      </c>
    </row>
    <row r="1107" spans="1:20" x14ac:dyDescent="0.25">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t="s">
        <v>129</v>
      </c>
      <c r="T1107" t="s">
        <v>161</v>
      </c>
    </row>
    <row r="1108" spans="1:20" x14ac:dyDescent="0.25">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t="s">
        <v>33</v>
      </c>
      <c r="T1108" t="s">
        <v>48</v>
      </c>
    </row>
    <row r="1109" spans="1:20" x14ac:dyDescent="0.25">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t="s">
        <v>33</v>
      </c>
      <c r="T1109" t="s">
        <v>48</v>
      </c>
    </row>
    <row r="1110" spans="1:20" x14ac:dyDescent="0.25">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t="s">
        <v>33</v>
      </c>
      <c r="T1110" t="s">
        <v>48</v>
      </c>
    </row>
    <row r="1111" spans="1:20" x14ac:dyDescent="0.25">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t="s">
        <v>33</v>
      </c>
      <c r="T1111" t="s">
        <v>48</v>
      </c>
    </row>
    <row r="1112" spans="1:20" x14ac:dyDescent="0.25">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t="s">
        <v>58</v>
      </c>
      <c r="T1112" t="s">
        <v>96</v>
      </c>
    </row>
    <row r="1113" spans="1:20" x14ac:dyDescent="0.25">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t="s">
        <v>83</v>
      </c>
      <c r="T1113" t="s">
        <v>77</v>
      </c>
    </row>
    <row r="1114" spans="1:20" x14ac:dyDescent="0.25">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t="s">
        <v>129</v>
      </c>
      <c r="T1114" t="s">
        <v>253</v>
      </c>
    </row>
    <row r="1115" spans="1:20" x14ac:dyDescent="0.25">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t="s">
        <v>129</v>
      </c>
      <c r="T1115" t="s">
        <v>161</v>
      </c>
    </row>
    <row r="1116" spans="1:20" x14ac:dyDescent="0.25">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t="s">
        <v>83</v>
      </c>
      <c r="T1116" t="s">
        <v>113</v>
      </c>
    </row>
    <row r="1117" spans="1:20" x14ac:dyDescent="0.25">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t="s">
        <v>83</v>
      </c>
      <c r="T1117" t="s">
        <v>96</v>
      </c>
    </row>
    <row r="1118" spans="1:20" x14ac:dyDescent="0.25">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t="s">
        <v>83</v>
      </c>
      <c r="T1118" t="s">
        <v>113</v>
      </c>
    </row>
    <row r="1119" spans="1:20" x14ac:dyDescent="0.25">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t="s">
        <v>83</v>
      </c>
      <c r="T1119" t="s">
        <v>113</v>
      </c>
    </row>
    <row r="1120" spans="1:20" x14ac:dyDescent="0.25">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t="s">
        <v>129</v>
      </c>
      <c r="T1120" t="s">
        <v>48</v>
      </c>
    </row>
    <row r="1121" spans="1:20" x14ac:dyDescent="0.25">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t="s">
        <v>129</v>
      </c>
      <c r="T1121" t="s">
        <v>34</v>
      </c>
    </row>
    <row r="1122" spans="1:20" x14ac:dyDescent="0.25">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t="s">
        <v>430</v>
      </c>
      <c r="T1122" t="s">
        <v>77</v>
      </c>
    </row>
    <row r="1123" spans="1:20" x14ac:dyDescent="0.25">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t="s">
        <v>58</v>
      </c>
      <c r="T1123" t="s">
        <v>113</v>
      </c>
    </row>
    <row r="1124" spans="1:20" x14ac:dyDescent="0.25">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t="s">
        <v>33</v>
      </c>
      <c r="T1124" t="s">
        <v>96</v>
      </c>
    </row>
    <row r="1125" spans="1:20" x14ac:dyDescent="0.25">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t="s">
        <v>430</v>
      </c>
      <c r="T1125" t="s">
        <v>59</v>
      </c>
    </row>
    <row r="1126" spans="1:20" x14ac:dyDescent="0.25">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t="s">
        <v>70</v>
      </c>
      <c r="T1126" t="s">
        <v>77</v>
      </c>
    </row>
    <row r="1127" spans="1:20" x14ac:dyDescent="0.25">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t="s">
        <v>33</v>
      </c>
      <c r="T1127" t="s">
        <v>71</v>
      </c>
    </row>
    <row r="1128" spans="1:20" x14ac:dyDescent="0.25">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t="s">
        <v>33</v>
      </c>
      <c r="T1128" t="s">
        <v>71</v>
      </c>
    </row>
    <row r="1129" spans="1:20" x14ac:dyDescent="0.25">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t="s">
        <v>47</v>
      </c>
      <c r="T1129" t="s">
        <v>77</v>
      </c>
    </row>
    <row r="1130" spans="1:20" x14ac:dyDescent="0.25">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t="s">
        <v>83</v>
      </c>
      <c r="T1130" t="s">
        <v>96</v>
      </c>
    </row>
    <row r="1131" spans="1:20" x14ac:dyDescent="0.25">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t="s">
        <v>70</v>
      </c>
      <c r="T1131" t="s">
        <v>77</v>
      </c>
    </row>
    <row r="1132" spans="1:20" x14ac:dyDescent="0.25">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t="s">
        <v>129</v>
      </c>
      <c r="T1132" t="s">
        <v>77</v>
      </c>
    </row>
    <row r="1133" spans="1:20" x14ac:dyDescent="0.25">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t="s">
        <v>123</v>
      </c>
      <c r="T1133" t="s">
        <v>169</v>
      </c>
    </row>
    <row r="1134" spans="1:20" x14ac:dyDescent="0.25">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t="s">
        <v>58</v>
      </c>
      <c r="T1134" t="s">
        <v>59</v>
      </c>
    </row>
    <row r="1135" spans="1:20" x14ac:dyDescent="0.25">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t="s">
        <v>123</v>
      </c>
      <c r="T1135" t="s">
        <v>77</v>
      </c>
    </row>
    <row r="1136" spans="1:20" x14ac:dyDescent="0.25">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t="s">
        <v>83</v>
      </c>
      <c r="T1136" t="s">
        <v>96</v>
      </c>
    </row>
    <row r="1137" spans="1:20" x14ac:dyDescent="0.25">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t="s">
        <v>83</v>
      </c>
      <c r="T1137" t="s">
        <v>96</v>
      </c>
    </row>
    <row r="1138" spans="1:20" x14ac:dyDescent="0.25">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t="s">
        <v>58</v>
      </c>
      <c r="T1138" t="s">
        <v>169</v>
      </c>
    </row>
    <row r="1139" spans="1:20" x14ac:dyDescent="0.25">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t="s">
        <v>33</v>
      </c>
      <c r="T1139" t="s">
        <v>113</v>
      </c>
    </row>
    <row r="1140" spans="1:20" x14ac:dyDescent="0.25">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t="s">
        <v>430</v>
      </c>
      <c r="T1140" t="s">
        <v>34</v>
      </c>
    </row>
    <row r="1141" spans="1:20" x14ac:dyDescent="0.25">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t="s">
        <v>33</v>
      </c>
      <c r="T1141" t="s">
        <v>71</v>
      </c>
    </row>
    <row r="1142" spans="1:20" x14ac:dyDescent="0.25">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t="s">
        <v>83</v>
      </c>
      <c r="T1142" t="s">
        <v>34</v>
      </c>
    </row>
    <row r="1143" spans="1:20" x14ac:dyDescent="0.25">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t="s">
        <v>83</v>
      </c>
      <c r="T1143" t="s">
        <v>48</v>
      </c>
    </row>
    <row r="1144" spans="1:20" x14ac:dyDescent="0.25">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t="s">
        <v>58</v>
      </c>
      <c r="T1144" t="s">
        <v>96</v>
      </c>
    </row>
    <row r="1145" spans="1:20" x14ac:dyDescent="0.25">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t="s">
        <v>58</v>
      </c>
      <c r="T1145" t="s">
        <v>96</v>
      </c>
    </row>
    <row r="1146" spans="1:20" x14ac:dyDescent="0.25">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t="s">
        <v>83</v>
      </c>
      <c r="T1146" t="s">
        <v>161</v>
      </c>
    </row>
    <row r="1147" spans="1:20" x14ac:dyDescent="0.25">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t="s">
        <v>129</v>
      </c>
      <c r="T1147" t="s">
        <v>96</v>
      </c>
    </row>
    <row r="1148" spans="1:20" x14ac:dyDescent="0.25">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t="s">
        <v>123</v>
      </c>
      <c r="T1148" t="s">
        <v>77</v>
      </c>
    </row>
    <row r="1149" spans="1:20" x14ac:dyDescent="0.25">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t="s">
        <v>83</v>
      </c>
      <c r="T1149" t="s">
        <v>34</v>
      </c>
    </row>
    <row r="1150" spans="1:20" x14ac:dyDescent="0.25">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t="s">
        <v>83</v>
      </c>
      <c r="T1150" t="s">
        <v>48</v>
      </c>
    </row>
    <row r="1151" spans="1:20" x14ac:dyDescent="0.25">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t="s">
        <v>83</v>
      </c>
      <c r="T1151" t="s">
        <v>96</v>
      </c>
    </row>
    <row r="1152" spans="1:20" x14ac:dyDescent="0.25">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t="s">
        <v>430</v>
      </c>
      <c r="T1152" t="s">
        <v>195</v>
      </c>
    </row>
    <row r="1153" spans="1:20" x14ac:dyDescent="0.25">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t="s">
        <v>83</v>
      </c>
      <c r="T1153" t="s">
        <v>96</v>
      </c>
    </row>
    <row r="1154" spans="1:20" x14ac:dyDescent="0.25">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t="s">
        <v>58</v>
      </c>
      <c r="T1154" t="s">
        <v>77</v>
      </c>
    </row>
    <row r="1155" spans="1:20" x14ac:dyDescent="0.25">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t="s">
        <v>83</v>
      </c>
      <c r="T1155" t="s">
        <v>48</v>
      </c>
    </row>
    <row r="1156" spans="1:20" x14ac:dyDescent="0.25">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t="s">
        <v>83</v>
      </c>
      <c r="T1156" t="s">
        <v>96</v>
      </c>
    </row>
    <row r="1157" spans="1:20" x14ac:dyDescent="0.25">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t="s">
        <v>58</v>
      </c>
      <c r="T1157" t="s">
        <v>48</v>
      </c>
    </row>
    <row r="1158" spans="1:20" x14ac:dyDescent="0.25">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t="s">
        <v>58</v>
      </c>
      <c r="T1158" t="s">
        <v>77</v>
      </c>
    </row>
    <row r="1159" spans="1:20" x14ac:dyDescent="0.25">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t="s">
        <v>58</v>
      </c>
      <c r="T1159" t="s">
        <v>77</v>
      </c>
    </row>
    <row r="1160" spans="1:20" x14ac:dyDescent="0.25">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t="s">
        <v>83</v>
      </c>
      <c r="T1160" t="s">
        <v>59</v>
      </c>
    </row>
    <row r="1161" spans="1:20" x14ac:dyDescent="0.25">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t="s">
        <v>58</v>
      </c>
      <c r="T1161" t="s">
        <v>77</v>
      </c>
    </row>
    <row r="1162" spans="1:20" x14ac:dyDescent="0.25">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t="s">
        <v>58</v>
      </c>
      <c r="T1162" t="s">
        <v>77</v>
      </c>
    </row>
    <row r="1163" spans="1:20" x14ac:dyDescent="0.25">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t="s">
        <v>70</v>
      </c>
      <c r="T1163" t="s">
        <v>77</v>
      </c>
    </row>
    <row r="1164" spans="1:20" x14ac:dyDescent="0.25">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t="s">
        <v>70</v>
      </c>
      <c r="T1164" t="s">
        <v>77</v>
      </c>
    </row>
    <row r="1165" spans="1:20" x14ac:dyDescent="0.25">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t="s">
        <v>58</v>
      </c>
      <c r="T1165" t="s">
        <v>59</v>
      </c>
    </row>
    <row r="1166" spans="1:20" x14ac:dyDescent="0.25">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t="s">
        <v>70</v>
      </c>
      <c r="T1166" t="s">
        <v>253</v>
      </c>
    </row>
    <row r="1167" spans="1:20" x14ac:dyDescent="0.25">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t="s">
        <v>83</v>
      </c>
      <c r="T1167" t="s">
        <v>297</v>
      </c>
    </row>
    <row r="1168" spans="1:20" x14ac:dyDescent="0.25">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t="s">
        <v>47</v>
      </c>
      <c r="T1168" t="s">
        <v>195</v>
      </c>
    </row>
    <row r="1169" spans="1:20" x14ac:dyDescent="0.25">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t="s">
        <v>129</v>
      </c>
      <c r="T1169" t="s">
        <v>96</v>
      </c>
    </row>
    <row r="1170" spans="1:20" x14ac:dyDescent="0.25">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t="s">
        <v>129</v>
      </c>
      <c r="T1170" t="s">
        <v>96</v>
      </c>
    </row>
    <row r="1171" spans="1:20" x14ac:dyDescent="0.25">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t="s">
        <v>83</v>
      </c>
      <c r="T1171" t="s">
        <v>113</v>
      </c>
    </row>
    <row r="1172" spans="1:20" x14ac:dyDescent="0.25">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t="s">
        <v>58</v>
      </c>
      <c r="T1172" t="s">
        <v>113</v>
      </c>
    </row>
    <row r="1173" spans="1:20" x14ac:dyDescent="0.25">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t="s">
        <v>58</v>
      </c>
      <c r="T1173" t="s">
        <v>169</v>
      </c>
    </row>
    <row r="1174" spans="1:20" x14ac:dyDescent="0.25">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t="s">
        <v>70</v>
      </c>
      <c r="T1174" t="s">
        <v>71</v>
      </c>
    </row>
    <row r="1175" spans="1:20" x14ac:dyDescent="0.25">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t="s">
        <v>33</v>
      </c>
      <c r="T1175" t="s">
        <v>96</v>
      </c>
    </row>
    <row r="1176" spans="1:20" x14ac:dyDescent="0.25">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t="s">
        <v>47</v>
      </c>
      <c r="T1176" t="s">
        <v>77</v>
      </c>
    </row>
    <row r="1177" spans="1:20" x14ac:dyDescent="0.25">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t="s">
        <v>70</v>
      </c>
      <c r="T1177" t="s">
        <v>59</v>
      </c>
    </row>
    <row r="1178" spans="1:20" x14ac:dyDescent="0.25">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t="s">
        <v>47</v>
      </c>
      <c r="T1178" t="s">
        <v>96</v>
      </c>
    </row>
    <row r="1179" spans="1:20" x14ac:dyDescent="0.25">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t="s">
        <v>430</v>
      </c>
      <c r="T1179" t="s">
        <v>71</v>
      </c>
    </row>
    <row r="1180" spans="1:20" x14ac:dyDescent="0.25">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t="s">
        <v>58</v>
      </c>
      <c r="T1180" t="s">
        <v>96</v>
      </c>
    </row>
    <row r="1181" spans="1:20" x14ac:dyDescent="0.25">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t="s">
        <v>129</v>
      </c>
      <c r="T1181" t="s">
        <v>96</v>
      </c>
    </row>
    <row r="1182" spans="1:20" x14ac:dyDescent="0.25">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t="s">
        <v>70</v>
      </c>
      <c r="T1182" t="s">
        <v>161</v>
      </c>
    </row>
    <row r="1183" spans="1:20" x14ac:dyDescent="0.25">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t="s">
        <v>47</v>
      </c>
      <c r="T1183" t="s">
        <v>96</v>
      </c>
    </row>
    <row r="1184" spans="1:20" x14ac:dyDescent="0.25">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t="s">
        <v>47</v>
      </c>
      <c r="T1184" t="s">
        <v>161</v>
      </c>
    </row>
    <row r="1185" spans="1:20" x14ac:dyDescent="0.25">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t="s">
        <v>47</v>
      </c>
      <c r="T1185" t="s">
        <v>161</v>
      </c>
    </row>
    <row r="1186" spans="1:20" x14ac:dyDescent="0.25">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t="s">
        <v>58</v>
      </c>
      <c r="T1186" t="s">
        <v>96</v>
      </c>
    </row>
    <row r="1187" spans="1:20" x14ac:dyDescent="0.25">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t="s">
        <v>33</v>
      </c>
      <c r="T1187" t="s">
        <v>59</v>
      </c>
    </row>
    <row r="1188" spans="1:20" x14ac:dyDescent="0.25">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t="s">
        <v>33</v>
      </c>
      <c r="T1188" t="s">
        <v>59</v>
      </c>
    </row>
    <row r="1189" spans="1:20" x14ac:dyDescent="0.25">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t="s">
        <v>58</v>
      </c>
      <c r="T1189" t="s">
        <v>169</v>
      </c>
    </row>
    <row r="1190" spans="1:20" x14ac:dyDescent="0.25">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t="s">
        <v>33</v>
      </c>
      <c r="T1190" t="s">
        <v>195</v>
      </c>
    </row>
    <row r="1191" spans="1:20" x14ac:dyDescent="0.25">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t="s">
        <v>33</v>
      </c>
      <c r="T1191" t="s">
        <v>195</v>
      </c>
    </row>
    <row r="1192" spans="1:20" x14ac:dyDescent="0.25">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t="s">
        <v>129</v>
      </c>
      <c r="T1192" t="s">
        <v>161</v>
      </c>
    </row>
    <row r="1193" spans="1:20" x14ac:dyDescent="0.25">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t="s">
        <v>47</v>
      </c>
      <c r="T1193" t="s">
        <v>297</v>
      </c>
    </row>
    <row r="1194" spans="1:20" x14ac:dyDescent="0.25">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t="s">
        <v>58</v>
      </c>
      <c r="T1194" t="s">
        <v>253</v>
      </c>
    </row>
    <row r="1195" spans="1:20" x14ac:dyDescent="0.25">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t="s">
        <v>33</v>
      </c>
      <c r="T1195" t="s">
        <v>253</v>
      </c>
    </row>
    <row r="1196" spans="1:20" x14ac:dyDescent="0.25">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t="s">
        <v>70</v>
      </c>
      <c r="T1196" t="s">
        <v>34</v>
      </c>
    </row>
    <row r="1197" spans="1:20" x14ac:dyDescent="0.25">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t="s">
        <v>83</v>
      </c>
      <c r="T1197" t="s">
        <v>77</v>
      </c>
    </row>
    <row r="1198" spans="1:20" x14ac:dyDescent="0.25">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t="s">
        <v>83</v>
      </c>
      <c r="T1198" t="s">
        <v>113</v>
      </c>
    </row>
    <row r="1199" spans="1:20" x14ac:dyDescent="0.25">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t="s">
        <v>47</v>
      </c>
      <c r="T1199" t="s">
        <v>34</v>
      </c>
    </row>
    <row r="1200" spans="1:20" x14ac:dyDescent="0.25">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t="s">
        <v>129</v>
      </c>
      <c r="T1200" t="s">
        <v>48</v>
      </c>
    </row>
    <row r="1201" spans="1:20" x14ac:dyDescent="0.25">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t="s">
        <v>83</v>
      </c>
      <c r="T1201" t="s">
        <v>113</v>
      </c>
    </row>
    <row r="1202" spans="1:20" x14ac:dyDescent="0.25">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t="s">
        <v>33</v>
      </c>
      <c r="T1202" t="s">
        <v>77</v>
      </c>
    </row>
    <row r="1203" spans="1:20" x14ac:dyDescent="0.25">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t="s">
        <v>33</v>
      </c>
      <c r="T1203" t="s">
        <v>77</v>
      </c>
    </row>
    <row r="1204" spans="1:20" x14ac:dyDescent="0.25">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t="s">
        <v>83</v>
      </c>
      <c r="T1204" t="s">
        <v>77</v>
      </c>
    </row>
    <row r="1205" spans="1:20" x14ac:dyDescent="0.25">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t="s">
        <v>58</v>
      </c>
      <c r="T1205" t="s">
        <v>253</v>
      </c>
    </row>
    <row r="1206" spans="1:20" x14ac:dyDescent="0.25">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t="s">
        <v>129</v>
      </c>
      <c r="T1206" t="s">
        <v>34</v>
      </c>
    </row>
    <row r="1207" spans="1:20" x14ac:dyDescent="0.25">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t="s">
        <v>58</v>
      </c>
      <c r="T1207" t="s">
        <v>297</v>
      </c>
    </row>
    <row r="1208" spans="1:20" x14ac:dyDescent="0.25">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t="s">
        <v>83</v>
      </c>
      <c r="T1208" t="s">
        <v>195</v>
      </c>
    </row>
    <row r="1209" spans="1:20" x14ac:dyDescent="0.25">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t="s">
        <v>129</v>
      </c>
      <c r="T1209" t="s">
        <v>161</v>
      </c>
    </row>
    <row r="1210" spans="1:20" x14ac:dyDescent="0.25">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t="s">
        <v>33</v>
      </c>
      <c r="T1210" t="s">
        <v>77</v>
      </c>
    </row>
    <row r="1211" spans="1:20" x14ac:dyDescent="0.25">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t="s">
        <v>33</v>
      </c>
      <c r="T1211" t="s">
        <v>77</v>
      </c>
    </row>
    <row r="1212" spans="1:20" x14ac:dyDescent="0.25">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t="s">
        <v>83</v>
      </c>
      <c r="T1212" t="s">
        <v>96</v>
      </c>
    </row>
    <row r="1213" spans="1:20" x14ac:dyDescent="0.25">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t="s">
        <v>83</v>
      </c>
      <c r="T1213" t="s">
        <v>96</v>
      </c>
    </row>
    <row r="1214" spans="1:20" x14ac:dyDescent="0.25">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t="s">
        <v>58</v>
      </c>
      <c r="T1214" t="s">
        <v>71</v>
      </c>
    </row>
    <row r="1215" spans="1:20" x14ac:dyDescent="0.25">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t="s">
        <v>83</v>
      </c>
      <c r="T1215" t="s">
        <v>77</v>
      </c>
    </row>
    <row r="1216" spans="1:20" x14ac:dyDescent="0.25">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t="s">
        <v>83</v>
      </c>
      <c r="T1216" t="s">
        <v>34</v>
      </c>
    </row>
    <row r="1217" spans="1:20" x14ac:dyDescent="0.25">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t="s">
        <v>83</v>
      </c>
      <c r="T1217" t="s">
        <v>34</v>
      </c>
    </row>
    <row r="1218" spans="1:20" x14ac:dyDescent="0.25">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t="s">
        <v>83</v>
      </c>
      <c r="T1218" t="s">
        <v>34</v>
      </c>
    </row>
    <row r="1219" spans="1:20" x14ac:dyDescent="0.25">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t="s">
        <v>83</v>
      </c>
      <c r="T1219" t="s">
        <v>34</v>
      </c>
    </row>
    <row r="1220" spans="1:20" x14ac:dyDescent="0.25">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t="s">
        <v>129</v>
      </c>
      <c r="T1220" t="s">
        <v>253</v>
      </c>
    </row>
    <row r="1221" spans="1:20" x14ac:dyDescent="0.25">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t="s">
        <v>83</v>
      </c>
      <c r="T1221" t="s">
        <v>77</v>
      </c>
    </row>
    <row r="1222" spans="1:20" x14ac:dyDescent="0.25">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t="s">
        <v>47</v>
      </c>
      <c r="T1222" t="s">
        <v>34</v>
      </c>
    </row>
    <row r="1223" spans="1:20" x14ac:dyDescent="0.25">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t="s">
        <v>70</v>
      </c>
      <c r="T1223" t="s">
        <v>253</v>
      </c>
    </row>
    <row r="1224" spans="1:20" x14ac:dyDescent="0.25">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t="s">
        <v>58</v>
      </c>
      <c r="T1224" t="s">
        <v>34</v>
      </c>
    </row>
    <row r="1225" spans="1:20" x14ac:dyDescent="0.25">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t="s">
        <v>430</v>
      </c>
      <c r="T1225" t="s">
        <v>59</v>
      </c>
    </row>
    <row r="1226" spans="1:20" x14ac:dyDescent="0.25">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t="s">
        <v>83</v>
      </c>
      <c r="T1226" t="s">
        <v>77</v>
      </c>
    </row>
    <row r="1227" spans="1:20" x14ac:dyDescent="0.25">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t="s">
        <v>83</v>
      </c>
      <c r="T1227" t="s">
        <v>77</v>
      </c>
    </row>
    <row r="1228" spans="1:20" x14ac:dyDescent="0.25">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t="s">
        <v>83</v>
      </c>
      <c r="T1228" t="s">
        <v>77</v>
      </c>
    </row>
    <row r="1229" spans="1:20" x14ac:dyDescent="0.25">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t="s">
        <v>70</v>
      </c>
      <c r="T1229" t="s">
        <v>195</v>
      </c>
    </row>
    <row r="1230" spans="1:20" x14ac:dyDescent="0.25">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t="s">
        <v>129</v>
      </c>
      <c r="T1230" t="s">
        <v>113</v>
      </c>
    </row>
    <row r="1231" spans="1:20" x14ac:dyDescent="0.25">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t="s">
        <v>58</v>
      </c>
      <c r="T1231" t="s">
        <v>34</v>
      </c>
    </row>
    <row r="1232" spans="1:20" x14ac:dyDescent="0.25">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t="s">
        <v>58</v>
      </c>
      <c r="T1232" t="s">
        <v>96</v>
      </c>
    </row>
    <row r="1233" spans="1:20" x14ac:dyDescent="0.25">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t="s">
        <v>129</v>
      </c>
      <c r="T1233" t="s">
        <v>77</v>
      </c>
    </row>
    <row r="1234" spans="1:20" x14ac:dyDescent="0.25">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t="s">
        <v>129</v>
      </c>
      <c r="T1234" t="s">
        <v>77</v>
      </c>
    </row>
    <row r="1235" spans="1:20" x14ac:dyDescent="0.25">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t="s">
        <v>129</v>
      </c>
      <c r="T1235" t="s">
        <v>77</v>
      </c>
    </row>
    <row r="1236" spans="1:20" x14ac:dyDescent="0.25">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t="s">
        <v>83</v>
      </c>
      <c r="T1236" t="s">
        <v>34</v>
      </c>
    </row>
    <row r="1237" spans="1:20" x14ac:dyDescent="0.25">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t="s">
        <v>83</v>
      </c>
      <c r="T1237" t="s">
        <v>113</v>
      </c>
    </row>
    <row r="1238" spans="1:20" x14ac:dyDescent="0.25">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t="s">
        <v>83</v>
      </c>
      <c r="T1238" t="s">
        <v>48</v>
      </c>
    </row>
    <row r="1239" spans="1:20" x14ac:dyDescent="0.25">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t="s">
        <v>70</v>
      </c>
      <c r="T1239" t="s">
        <v>71</v>
      </c>
    </row>
    <row r="1240" spans="1:20" x14ac:dyDescent="0.25">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t="s">
        <v>430</v>
      </c>
      <c r="T1240" t="s">
        <v>71</v>
      </c>
    </row>
    <row r="1241" spans="1:20" x14ac:dyDescent="0.25">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t="s">
        <v>83</v>
      </c>
      <c r="T1241" t="s">
        <v>253</v>
      </c>
    </row>
    <row r="1242" spans="1:20" x14ac:dyDescent="0.25">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t="s">
        <v>83</v>
      </c>
      <c r="T1242" t="s">
        <v>34</v>
      </c>
    </row>
    <row r="1243" spans="1:20" x14ac:dyDescent="0.25">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t="s">
        <v>83</v>
      </c>
      <c r="T1243" t="s">
        <v>34</v>
      </c>
    </row>
    <row r="1244" spans="1:20" x14ac:dyDescent="0.25">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t="s">
        <v>33</v>
      </c>
      <c r="T1244" t="s">
        <v>195</v>
      </c>
    </row>
    <row r="1245" spans="1:20" x14ac:dyDescent="0.25">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t="s">
        <v>58</v>
      </c>
      <c r="T1245" t="s">
        <v>297</v>
      </c>
    </row>
    <row r="1246" spans="1:20" x14ac:dyDescent="0.25">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t="s">
        <v>70</v>
      </c>
      <c r="T1246" t="s">
        <v>71</v>
      </c>
    </row>
    <row r="1247" spans="1:20" x14ac:dyDescent="0.25">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t="s">
        <v>58</v>
      </c>
      <c r="T1247" t="s">
        <v>297</v>
      </c>
    </row>
    <row r="1248" spans="1:20" x14ac:dyDescent="0.25">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t="s">
        <v>129</v>
      </c>
      <c r="T1248" t="s">
        <v>77</v>
      </c>
    </row>
    <row r="1249" spans="1:20" x14ac:dyDescent="0.25">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t="s">
        <v>129</v>
      </c>
      <c r="T1249" t="s">
        <v>77</v>
      </c>
    </row>
    <row r="1250" spans="1:20" x14ac:dyDescent="0.25">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t="s">
        <v>129</v>
      </c>
      <c r="T1250" t="s">
        <v>71</v>
      </c>
    </row>
    <row r="1251" spans="1:20" x14ac:dyDescent="0.25">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t="s">
        <v>129</v>
      </c>
      <c r="T1251" t="s">
        <v>71</v>
      </c>
    </row>
    <row r="1252" spans="1:20" x14ac:dyDescent="0.25">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t="s">
        <v>129</v>
      </c>
      <c r="T1252" t="s">
        <v>77</v>
      </c>
    </row>
    <row r="1253" spans="1:20" x14ac:dyDescent="0.25">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t="s">
        <v>430</v>
      </c>
      <c r="T1253" t="s">
        <v>96</v>
      </c>
    </row>
    <row r="1254" spans="1:20" x14ac:dyDescent="0.25">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t="s">
        <v>430</v>
      </c>
      <c r="T1254" t="s">
        <v>96</v>
      </c>
    </row>
    <row r="1255" spans="1:20" x14ac:dyDescent="0.25">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t="s">
        <v>83</v>
      </c>
      <c r="T1255" t="s">
        <v>96</v>
      </c>
    </row>
    <row r="1256" spans="1:20" x14ac:dyDescent="0.25">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t="s">
        <v>83</v>
      </c>
      <c r="T1256" t="s">
        <v>96</v>
      </c>
    </row>
    <row r="1257" spans="1:20" x14ac:dyDescent="0.25">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t="s">
        <v>83</v>
      </c>
      <c r="T1257" t="s">
        <v>77</v>
      </c>
    </row>
    <row r="1258" spans="1:20" x14ac:dyDescent="0.25">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t="s">
        <v>58</v>
      </c>
      <c r="T1258" t="s">
        <v>34</v>
      </c>
    </row>
    <row r="1259" spans="1:20" x14ac:dyDescent="0.25">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t="s">
        <v>70</v>
      </c>
      <c r="T1259" t="s">
        <v>113</v>
      </c>
    </row>
    <row r="1260" spans="1:20" x14ac:dyDescent="0.25">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t="s">
        <v>129</v>
      </c>
      <c r="T1260" t="s">
        <v>113</v>
      </c>
    </row>
    <row r="1261" spans="1:20" x14ac:dyDescent="0.25">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t="s">
        <v>129</v>
      </c>
      <c r="T1261" t="s">
        <v>113</v>
      </c>
    </row>
    <row r="1262" spans="1:20" x14ac:dyDescent="0.25">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t="s">
        <v>430</v>
      </c>
      <c r="T1262" t="s">
        <v>71</v>
      </c>
    </row>
    <row r="1263" spans="1:20" x14ac:dyDescent="0.25">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t="s">
        <v>47</v>
      </c>
      <c r="T1263" t="s">
        <v>96</v>
      </c>
    </row>
    <row r="1264" spans="1:20" x14ac:dyDescent="0.25">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t="s">
        <v>83</v>
      </c>
      <c r="T1264" t="s">
        <v>96</v>
      </c>
    </row>
    <row r="1265" spans="1:20" x14ac:dyDescent="0.25">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t="s">
        <v>83</v>
      </c>
      <c r="T1265" t="s">
        <v>77</v>
      </c>
    </row>
    <row r="1266" spans="1:20" x14ac:dyDescent="0.25">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t="s">
        <v>83</v>
      </c>
      <c r="T1266" t="s">
        <v>297</v>
      </c>
    </row>
    <row r="1267" spans="1:20" x14ac:dyDescent="0.25">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t="s">
        <v>58</v>
      </c>
      <c r="T1267" t="s">
        <v>161</v>
      </c>
    </row>
    <row r="1268" spans="1:20" x14ac:dyDescent="0.25">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t="s">
        <v>58</v>
      </c>
      <c r="T1268" t="s">
        <v>77</v>
      </c>
    </row>
    <row r="1269" spans="1:20" x14ac:dyDescent="0.25">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t="s">
        <v>47</v>
      </c>
      <c r="T1269" t="s">
        <v>59</v>
      </c>
    </row>
    <row r="1270" spans="1:20" x14ac:dyDescent="0.25">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t="s">
        <v>33</v>
      </c>
      <c r="T1270" t="s">
        <v>77</v>
      </c>
    </row>
    <row r="1271" spans="1:20" x14ac:dyDescent="0.25">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t="s">
        <v>83</v>
      </c>
      <c r="T1271" t="s">
        <v>161</v>
      </c>
    </row>
    <row r="1272" spans="1:20" x14ac:dyDescent="0.25">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t="s">
        <v>83</v>
      </c>
      <c r="T1272" t="s">
        <v>161</v>
      </c>
    </row>
    <row r="1273" spans="1:20" x14ac:dyDescent="0.25">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t="s">
        <v>129</v>
      </c>
      <c r="T1273" t="s">
        <v>77</v>
      </c>
    </row>
    <row r="1274" spans="1:20" x14ac:dyDescent="0.25">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t="s">
        <v>430</v>
      </c>
      <c r="T1274" t="s">
        <v>297</v>
      </c>
    </row>
    <row r="1275" spans="1:20" x14ac:dyDescent="0.25">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t="s">
        <v>83</v>
      </c>
      <c r="T1275" t="s">
        <v>96</v>
      </c>
    </row>
    <row r="1276" spans="1:20" x14ac:dyDescent="0.25">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t="s">
        <v>129</v>
      </c>
      <c r="T1276" t="s">
        <v>77</v>
      </c>
    </row>
    <row r="1277" spans="1:20" x14ac:dyDescent="0.25">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t="s">
        <v>129</v>
      </c>
      <c r="T1277" t="s">
        <v>77</v>
      </c>
    </row>
    <row r="1278" spans="1:20" x14ac:dyDescent="0.25">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t="s">
        <v>129</v>
      </c>
      <c r="T1278" t="s">
        <v>77</v>
      </c>
    </row>
    <row r="1279" spans="1:20" x14ac:dyDescent="0.25">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t="s">
        <v>129</v>
      </c>
      <c r="T1279" t="s">
        <v>77</v>
      </c>
    </row>
    <row r="1280" spans="1:20" x14ac:dyDescent="0.25">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t="s">
        <v>70</v>
      </c>
      <c r="T1280" t="s">
        <v>253</v>
      </c>
    </row>
    <row r="1281" spans="1:20" x14ac:dyDescent="0.25">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t="s">
        <v>83</v>
      </c>
      <c r="T1281" t="s">
        <v>34</v>
      </c>
    </row>
    <row r="1282" spans="1:20" x14ac:dyDescent="0.25">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t="s">
        <v>83</v>
      </c>
      <c r="T1282" t="s">
        <v>34</v>
      </c>
    </row>
    <row r="1283" spans="1:20" x14ac:dyDescent="0.25">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t="s">
        <v>83</v>
      </c>
      <c r="T1283" t="s">
        <v>34</v>
      </c>
    </row>
    <row r="1284" spans="1:20" x14ac:dyDescent="0.25">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t="s">
        <v>129</v>
      </c>
      <c r="T1284" t="s">
        <v>77</v>
      </c>
    </row>
    <row r="1285" spans="1:20" x14ac:dyDescent="0.25">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t="s">
        <v>129</v>
      </c>
      <c r="T1285" t="s">
        <v>77</v>
      </c>
    </row>
    <row r="1286" spans="1:20" x14ac:dyDescent="0.25">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t="s">
        <v>129</v>
      </c>
      <c r="T1286" t="s">
        <v>195</v>
      </c>
    </row>
    <row r="1287" spans="1:20" x14ac:dyDescent="0.25">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t="s">
        <v>83</v>
      </c>
      <c r="T1287" t="s">
        <v>96</v>
      </c>
    </row>
    <row r="1288" spans="1:20" x14ac:dyDescent="0.25">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t="s">
        <v>33</v>
      </c>
      <c r="T1288" t="s">
        <v>253</v>
      </c>
    </row>
    <row r="1289" spans="1:20" x14ac:dyDescent="0.25">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t="s">
        <v>58</v>
      </c>
      <c r="T1289" t="s">
        <v>195</v>
      </c>
    </row>
    <row r="1290" spans="1:20" x14ac:dyDescent="0.25">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t="s">
        <v>33</v>
      </c>
      <c r="T1290" t="s">
        <v>96</v>
      </c>
    </row>
    <row r="1291" spans="1:20" x14ac:dyDescent="0.25">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t="s">
        <v>33</v>
      </c>
      <c r="T1291" t="s">
        <v>113</v>
      </c>
    </row>
    <row r="1292" spans="1:20" x14ac:dyDescent="0.25">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t="s">
        <v>33</v>
      </c>
      <c r="T1292" t="s">
        <v>195</v>
      </c>
    </row>
    <row r="1293" spans="1:20" x14ac:dyDescent="0.25">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t="s">
        <v>33</v>
      </c>
      <c r="T1293" t="s">
        <v>113</v>
      </c>
    </row>
    <row r="1294" spans="1:20" x14ac:dyDescent="0.25">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t="s">
        <v>33</v>
      </c>
      <c r="T1294" t="s">
        <v>113</v>
      </c>
    </row>
    <row r="1295" spans="1:20" x14ac:dyDescent="0.25">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t="s">
        <v>70</v>
      </c>
      <c r="T1295" t="s">
        <v>195</v>
      </c>
    </row>
    <row r="1296" spans="1:20" x14ac:dyDescent="0.25">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t="s">
        <v>70</v>
      </c>
      <c r="T1296" t="s">
        <v>195</v>
      </c>
    </row>
    <row r="1297" spans="1:20" x14ac:dyDescent="0.25">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t="s">
        <v>58</v>
      </c>
      <c r="T1297" t="s">
        <v>77</v>
      </c>
    </row>
    <row r="1298" spans="1:20" x14ac:dyDescent="0.25">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t="s">
        <v>70</v>
      </c>
      <c r="T1298" t="s">
        <v>96</v>
      </c>
    </row>
    <row r="1299" spans="1:20" x14ac:dyDescent="0.25">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t="s">
        <v>83</v>
      </c>
      <c r="T1299" t="s">
        <v>96</v>
      </c>
    </row>
    <row r="1300" spans="1:20" x14ac:dyDescent="0.25">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t="s">
        <v>47</v>
      </c>
      <c r="T1300" t="s">
        <v>96</v>
      </c>
    </row>
    <row r="1301" spans="1:20" x14ac:dyDescent="0.25">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t="s">
        <v>70</v>
      </c>
      <c r="T1301" t="s">
        <v>96</v>
      </c>
    </row>
    <row r="1302" spans="1:20" x14ac:dyDescent="0.25">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t="s">
        <v>83</v>
      </c>
      <c r="T1302" t="s">
        <v>48</v>
      </c>
    </row>
    <row r="1303" spans="1:20" x14ac:dyDescent="0.25">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t="s">
        <v>47</v>
      </c>
      <c r="T1303" t="s">
        <v>253</v>
      </c>
    </row>
    <row r="1304" spans="1:20" x14ac:dyDescent="0.25">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t="s">
        <v>58</v>
      </c>
      <c r="T1304" t="s">
        <v>34</v>
      </c>
    </row>
    <row r="1305" spans="1:20" x14ac:dyDescent="0.25">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t="s">
        <v>83</v>
      </c>
      <c r="T1305" t="s">
        <v>96</v>
      </c>
    </row>
    <row r="1306" spans="1:20" x14ac:dyDescent="0.25">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t="s">
        <v>83</v>
      </c>
      <c r="T1306" t="s">
        <v>48</v>
      </c>
    </row>
    <row r="1307" spans="1:20" x14ac:dyDescent="0.25">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t="s">
        <v>83</v>
      </c>
      <c r="T1307" t="s">
        <v>48</v>
      </c>
    </row>
    <row r="1308" spans="1:20" x14ac:dyDescent="0.25">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t="s">
        <v>430</v>
      </c>
      <c r="T1308" t="s">
        <v>77</v>
      </c>
    </row>
    <row r="1309" spans="1:20" x14ac:dyDescent="0.25">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t="s">
        <v>83</v>
      </c>
      <c r="T1309" t="s">
        <v>96</v>
      </c>
    </row>
    <row r="1310" spans="1:20" x14ac:dyDescent="0.25">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t="s">
        <v>33</v>
      </c>
      <c r="T1310" t="s">
        <v>161</v>
      </c>
    </row>
    <row r="1311" spans="1:20" x14ac:dyDescent="0.25">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t="s">
        <v>58</v>
      </c>
      <c r="T1311" t="s">
        <v>34</v>
      </c>
    </row>
    <row r="1312" spans="1:20" x14ac:dyDescent="0.25">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t="s">
        <v>129</v>
      </c>
      <c r="T1312" t="s">
        <v>161</v>
      </c>
    </row>
    <row r="1313" spans="1:20" x14ac:dyDescent="0.25">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t="s">
        <v>129</v>
      </c>
      <c r="T1313" t="s">
        <v>77</v>
      </c>
    </row>
    <row r="1314" spans="1:20" x14ac:dyDescent="0.25">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t="s">
        <v>83</v>
      </c>
      <c r="T1314" t="s">
        <v>96</v>
      </c>
    </row>
    <row r="1315" spans="1:20" x14ac:dyDescent="0.25">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t="s">
        <v>58</v>
      </c>
      <c r="T1315" t="s">
        <v>71</v>
      </c>
    </row>
    <row r="1316" spans="1:20" x14ac:dyDescent="0.25">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t="s">
        <v>58</v>
      </c>
      <c r="T1316" t="s">
        <v>71</v>
      </c>
    </row>
    <row r="1317" spans="1:20" x14ac:dyDescent="0.25">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t="s">
        <v>129</v>
      </c>
      <c r="T1317" t="s">
        <v>34</v>
      </c>
    </row>
    <row r="1318" spans="1:20" x14ac:dyDescent="0.25">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t="s">
        <v>83</v>
      </c>
      <c r="T1318" t="s">
        <v>77</v>
      </c>
    </row>
    <row r="1319" spans="1:20" x14ac:dyDescent="0.25">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t="s">
        <v>58</v>
      </c>
      <c r="T1319" t="s">
        <v>48</v>
      </c>
    </row>
    <row r="1320" spans="1:20" x14ac:dyDescent="0.25">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t="s">
        <v>83</v>
      </c>
      <c r="T1320" t="s">
        <v>71</v>
      </c>
    </row>
    <row r="1321" spans="1:20" x14ac:dyDescent="0.25">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t="s">
        <v>58</v>
      </c>
      <c r="T1321" t="s">
        <v>195</v>
      </c>
    </row>
    <row r="1322" spans="1:20" x14ac:dyDescent="0.25">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t="s">
        <v>58</v>
      </c>
      <c r="T1322" t="s">
        <v>195</v>
      </c>
    </row>
    <row r="1323" spans="1:20" x14ac:dyDescent="0.25">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t="s">
        <v>33</v>
      </c>
      <c r="T1323" t="s">
        <v>96</v>
      </c>
    </row>
    <row r="1324" spans="1:20" x14ac:dyDescent="0.25">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t="s">
        <v>33</v>
      </c>
      <c r="T1324" t="s">
        <v>34</v>
      </c>
    </row>
    <row r="1325" spans="1:20" x14ac:dyDescent="0.25">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t="s">
        <v>70</v>
      </c>
      <c r="T1325" t="s">
        <v>34</v>
      </c>
    </row>
    <row r="1326" spans="1:20" x14ac:dyDescent="0.25">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t="s">
        <v>70</v>
      </c>
      <c r="T1326" t="s">
        <v>34</v>
      </c>
    </row>
    <row r="1327" spans="1:20" x14ac:dyDescent="0.25">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t="s">
        <v>58</v>
      </c>
      <c r="T1327" t="s">
        <v>77</v>
      </c>
    </row>
    <row r="1328" spans="1:20" x14ac:dyDescent="0.25">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t="s">
        <v>129</v>
      </c>
      <c r="T1328" t="s">
        <v>169</v>
      </c>
    </row>
    <row r="1329" spans="1:20" x14ac:dyDescent="0.25">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t="s">
        <v>129</v>
      </c>
      <c r="T1329" t="s">
        <v>169</v>
      </c>
    </row>
    <row r="1330" spans="1:20" x14ac:dyDescent="0.25">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t="s">
        <v>47</v>
      </c>
      <c r="T1330" t="s">
        <v>253</v>
      </c>
    </row>
    <row r="1331" spans="1:20" x14ac:dyDescent="0.25">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t="s">
        <v>83</v>
      </c>
      <c r="T1331" t="s">
        <v>48</v>
      </c>
    </row>
    <row r="1332" spans="1:20" x14ac:dyDescent="0.25">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t="s">
        <v>58</v>
      </c>
      <c r="T1332" t="s">
        <v>77</v>
      </c>
    </row>
    <row r="1333" spans="1:20" x14ac:dyDescent="0.25">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t="s">
        <v>83</v>
      </c>
      <c r="T1333" t="s">
        <v>48</v>
      </c>
    </row>
    <row r="1334" spans="1:20" x14ac:dyDescent="0.25">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t="s">
        <v>430</v>
      </c>
      <c r="T1334" t="s">
        <v>34</v>
      </c>
    </row>
    <row r="1335" spans="1:20" x14ac:dyDescent="0.25">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t="s">
        <v>70</v>
      </c>
      <c r="T1335" t="s">
        <v>48</v>
      </c>
    </row>
    <row r="1336" spans="1:20" x14ac:dyDescent="0.25">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t="s">
        <v>83</v>
      </c>
      <c r="T1336" t="s">
        <v>113</v>
      </c>
    </row>
    <row r="1337" spans="1:20" x14ac:dyDescent="0.25">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t="s">
        <v>47</v>
      </c>
      <c r="T1337" t="s">
        <v>96</v>
      </c>
    </row>
    <row r="1338" spans="1:20" x14ac:dyDescent="0.25">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t="s">
        <v>83</v>
      </c>
      <c r="T1338" t="s">
        <v>195</v>
      </c>
    </row>
    <row r="1339" spans="1:20" x14ac:dyDescent="0.25">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t="s">
        <v>58</v>
      </c>
      <c r="T1339" t="s">
        <v>96</v>
      </c>
    </row>
    <row r="1340" spans="1:20" x14ac:dyDescent="0.25">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t="s">
        <v>123</v>
      </c>
      <c r="T1340" t="s">
        <v>161</v>
      </c>
    </row>
    <row r="1341" spans="1:20" x14ac:dyDescent="0.25">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t="s">
        <v>123</v>
      </c>
      <c r="T1341" t="s">
        <v>161</v>
      </c>
    </row>
    <row r="1342" spans="1:20" x14ac:dyDescent="0.25">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t="s">
        <v>70</v>
      </c>
      <c r="T1342" t="s">
        <v>253</v>
      </c>
    </row>
    <row r="1343" spans="1:20" x14ac:dyDescent="0.25">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t="s">
        <v>123</v>
      </c>
      <c r="T1343" t="s">
        <v>161</v>
      </c>
    </row>
    <row r="1344" spans="1:20" x14ac:dyDescent="0.25">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t="s">
        <v>58</v>
      </c>
      <c r="T1344" t="s">
        <v>48</v>
      </c>
    </row>
    <row r="1345" spans="1:20" x14ac:dyDescent="0.25">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t="s">
        <v>33</v>
      </c>
      <c r="T1345" t="s">
        <v>48</v>
      </c>
    </row>
    <row r="1346" spans="1:20" x14ac:dyDescent="0.25">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t="s">
        <v>83</v>
      </c>
      <c r="T1346" t="s">
        <v>34</v>
      </c>
    </row>
    <row r="1347" spans="1:20" x14ac:dyDescent="0.25">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t="s">
        <v>83</v>
      </c>
      <c r="T1347" t="s">
        <v>34</v>
      </c>
    </row>
    <row r="1348" spans="1:20" x14ac:dyDescent="0.25">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t="s">
        <v>70</v>
      </c>
      <c r="T1348" t="s">
        <v>161</v>
      </c>
    </row>
    <row r="1349" spans="1:20" x14ac:dyDescent="0.25">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t="s">
        <v>58</v>
      </c>
      <c r="T1349" t="s">
        <v>96</v>
      </c>
    </row>
    <row r="1350" spans="1:20" x14ac:dyDescent="0.25">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t="s">
        <v>70</v>
      </c>
      <c r="T1350" t="s">
        <v>48</v>
      </c>
    </row>
    <row r="1351" spans="1:20" x14ac:dyDescent="0.25">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t="s">
        <v>47</v>
      </c>
      <c r="T1351" t="s">
        <v>48</v>
      </c>
    </row>
    <row r="1352" spans="1:20" x14ac:dyDescent="0.25">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t="s">
        <v>70</v>
      </c>
      <c r="T1352" t="s">
        <v>195</v>
      </c>
    </row>
    <row r="1353" spans="1:20" x14ac:dyDescent="0.25">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t="s">
        <v>33</v>
      </c>
      <c r="T1353" t="s">
        <v>71</v>
      </c>
    </row>
    <row r="1354" spans="1:20" x14ac:dyDescent="0.25">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t="s">
        <v>33</v>
      </c>
      <c r="T1354" t="s">
        <v>161</v>
      </c>
    </row>
    <row r="1355" spans="1:20" x14ac:dyDescent="0.25">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t="s">
        <v>129</v>
      </c>
      <c r="T1355" t="s">
        <v>77</v>
      </c>
    </row>
    <row r="1356" spans="1:20" x14ac:dyDescent="0.25">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t="s">
        <v>129</v>
      </c>
      <c r="T1356" t="s">
        <v>96</v>
      </c>
    </row>
    <row r="1357" spans="1:20" x14ac:dyDescent="0.25">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t="s">
        <v>123</v>
      </c>
      <c r="T1357" t="s">
        <v>169</v>
      </c>
    </row>
    <row r="1358" spans="1:20" x14ac:dyDescent="0.25">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t="s">
        <v>47</v>
      </c>
      <c r="T1358" t="s">
        <v>59</v>
      </c>
    </row>
    <row r="1359" spans="1:20" x14ac:dyDescent="0.25">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t="s">
        <v>129</v>
      </c>
      <c r="T1359" t="s">
        <v>59</v>
      </c>
    </row>
    <row r="1360" spans="1:20" x14ac:dyDescent="0.25">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t="s">
        <v>83</v>
      </c>
      <c r="T1360" t="s">
        <v>77</v>
      </c>
    </row>
    <row r="1361" spans="1:20" x14ac:dyDescent="0.25">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t="s">
        <v>58</v>
      </c>
      <c r="T1361" t="s">
        <v>34</v>
      </c>
    </row>
    <row r="1362" spans="1:20" x14ac:dyDescent="0.25">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t="s">
        <v>83</v>
      </c>
      <c r="T1362" t="s">
        <v>71</v>
      </c>
    </row>
    <row r="1363" spans="1:20" x14ac:dyDescent="0.25">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t="s">
        <v>70</v>
      </c>
      <c r="T1363" t="s">
        <v>48</v>
      </c>
    </row>
    <row r="1364" spans="1:20" x14ac:dyDescent="0.25">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t="s">
        <v>83</v>
      </c>
      <c r="T1364" t="s">
        <v>77</v>
      </c>
    </row>
    <row r="1365" spans="1:20" x14ac:dyDescent="0.25">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t="s">
        <v>83</v>
      </c>
      <c r="T1365" t="s">
        <v>77</v>
      </c>
    </row>
    <row r="1366" spans="1:20" x14ac:dyDescent="0.25">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t="s">
        <v>70</v>
      </c>
      <c r="T1366" t="s">
        <v>169</v>
      </c>
    </row>
    <row r="1367" spans="1:20" x14ac:dyDescent="0.25">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t="s">
        <v>58</v>
      </c>
      <c r="T1367" t="s">
        <v>34</v>
      </c>
    </row>
    <row r="1368" spans="1:20" x14ac:dyDescent="0.25">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t="s">
        <v>33</v>
      </c>
      <c r="T1368" t="s">
        <v>48</v>
      </c>
    </row>
    <row r="1369" spans="1:20" x14ac:dyDescent="0.25">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t="s">
        <v>58</v>
      </c>
      <c r="T1369" t="s">
        <v>48</v>
      </c>
    </row>
    <row r="1370" spans="1:20" x14ac:dyDescent="0.25">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t="s">
        <v>33</v>
      </c>
      <c r="T1370" t="s">
        <v>34</v>
      </c>
    </row>
    <row r="1371" spans="1:20" x14ac:dyDescent="0.25">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t="s">
        <v>83</v>
      </c>
      <c r="T1371" t="s">
        <v>195</v>
      </c>
    </row>
    <row r="1372" spans="1:20" x14ac:dyDescent="0.25">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t="s">
        <v>70</v>
      </c>
      <c r="T1372" t="s">
        <v>71</v>
      </c>
    </row>
    <row r="1373" spans="1:20" x14ac:dyDescent="0.25">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t="s">
        <v>70</v>
      </c>
      <c r="T1373" t="s">
        <v>34</v>
      </c>
    </row>
    <row r="1374" spans="1:20" x14ac:dyDescent="0.25">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t="s">
        <v>58</v>
      </c>
      <c r="T1374" t="s">
        <v>59</v>
      </c>
    </row>
    <row r="1375" spans="1:20" x14ac:dyDescent="0.25">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t="s">
        <v>58</v>
      </c>
      <c r="T1375" t="s">
        <v>161</v>
      </c>
    </row>
    <row r="1376" spans="1:20" x14ac:dyDescent="0.25">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t="s">
        <v>58</v>
      </c>
      <c r="T1376" t="s">
        <v>161</v>
      </c>
    </row>
    <row r="1377" spans="1:20" x14ac:dyDescent="0.25">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t="s">
        <v>83</v>
      </c>
      <c r="T1377" t="s">
        <v>113</v>
      </c>
    </row>
    <row r="1378" spans="1:20" x14ac:dyDescent="0.25">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t="s">
        <v>58</v>
      </c>
      <c r="T1378" t="s">
        <v>195</v>
      </c>
    </row>
    <row r="1379" spans="1:20" x14ac:dyDescent="0.25">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t="s">
        <v>430</v>
      </c>
      <c r="T1379" t="s">
        <v>48</v>
      </c>
    </row>
    <row r="1380" spans="1:20" x14ac:dyDescent="0.25">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t="s">
        <v>129</v>
      </c>
      <c r="T1380" t="s">
        <v>71</v>
      </c>
    </row>
    <row r="1381" spans="1:20" x14ac:dyDescent="0.25">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t="s">
        <v>129</v>
      </c>
      <c r="T1381" t="s">
        <v>71</v>
      </c>
    </row>
    <row r="1382" spans="1:20" x14ac:dyDescent="0.25">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t="s">
        <v>58</v>
      </c>
      <c r="T1382" t="s">
        <v>96</v>
      </c>
    </row>
    <row r="1383" spans="1:20" x14ac:dyDescent="0.25">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t="s">
        <v>58</v>
      </c>
      <c r="T1383" t="s">
        <v>96</v>
      </c>
    </row>
    <row r="1384" spans="1:20" x14ac:dyDescent="0.25">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t="s">
        <v>58</v>
      </c>
      <c r="T1384" t="s">
        <v>161</v>
      </c>
    </row>
    <row r="1385" spans="1:20" x14ac:dyDescent="0.25">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t="s">
        <v>47</v>
      </c>
      <c r="T1385" t="s">
        <v>113</v>
      </c>
    </row>
    <row r="1386" spans="1:20" x14ac:dyDescent="0.25">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t="s">
        <v>47</v>
      </c>
      <c r="T1386" t="s">
        <v>113</v>
      </c>
    </row>
    <row r="1387" spans="1:20" x14ac:dyDescent="0.25">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t="s">
        <v>70</v>
      </c>
      <c r="T1387" t="s">
        <v>59</v>
      </c>
    </row>
    <row r="1388" spans="1:20" x14ac:dyDescent="0.25">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t="s">
        <v>58</v>
      </c>
      <c r="T1388" t="s">
        <v>169</v>
      </c>
    </row>
    <row r="1389" spans="1:20" x14ac:dyDescent="0.25">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t="s">
        <v>33</v>
      </c>
      <c r="T1389" t="s">
        <v>77</v>
      </c>
    </row>
    <row r="1390" spans="1:20" x14ac:dyDescent="0.25">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t="s">
        <v>83</v>
      </c>
      <c r="T1390" t="s">
        <v>169</v>
      </c>
    </row>
    <row r="1391" spans="1:20" x14ac:dyDescent="0.25">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t="s">
        <v>83</v>
      </c>
      <c r="T1391" t="s">
        <v>169</v>
      </c>
    </row>
    <row r="1392" spans="1:20" x14ac:dyDescent="0.25">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t="s">
        <v>58</v>
      </c>
      <c r="T1392" t="s">
        <v>96</v>
      </c>
    </row>
    <row r="1393" spans="1:20" x14ac:dyDescent="0.25">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t="s">
        <v>58</v>
      </c>
      <c r="T1393" t="s">
        <v>96</v>
      </c>
    </row>
    <row r="1394" spans="1:20" x14ac:dyDescent="0.25">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t="s">
        <v>70</v>
      </c>
      <c r="T1394" t="s">
        <v>48</v>
      </c>
    </row>
    <row r="1395" spans="1:20" x14ac:dyDescent="0.25">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t="s">
        <v>129</v>
      </c>
      <c r="T1395" t="s">
        <v>96</v>
      </c>
    </row>
    <row r="1396" spans="1:20" x14ac:dyDescent="0.25">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t="s">
        <v>33</v>
      </c>
      <c r="T1396" t="s">
        <v>77</v>
      </c>
    </row>
    <row r="1397" spans="1:20" x14ac:dyDescent="0.25">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t="s">
        <v>33</v>
      </c>
      <c r="T1397" t="s">
        <v>77</v>
      </c>
    </row>
    <row r="1398" spans="1:20" x14ac:dyDescent="0.25">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t="s">
        <v>47</v>
      </c>
      <c r="T1398" t="s">
        <v>297</v>
      </c>
    </row>
    <row r="1399" spans="1:20" x14ac:dyDescent="0.25">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t="s">
        <v>47</v>
      </c>
      <c r="T1399" t="s">
        <v>297</v>
      </c>
    </row>
    <row r="1400" spans="1:20" x14ac:dyDescent="0.25">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t="s">
        <v>129</v>
      </c>
      <c r="T1400" t="s">
        <v>48</v>
      </c>
    </row>
    <row r="1401" spans="1:20" x14ac:dyDescent="0.25">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t="s">
        <v>70</v>
      </c>
      <c r="T1401" t="s">
        <v>161</v>
      </c>
    </row>
    <row r="1402" spans="1:20" x14ac:dyDescent="0.25">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t="s">
        <v>47</v>
      </c>
      <c r="T1402" t="s">
        <v>77</v>
      </c>
    </row>
    <row r="1403" spans="1:20" x14ac:dyDescent="0.25">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t="s">
        <v>83</v>
      </c>
      <c r="T1403" t="s">
        <v>48</v>
      </c>
    </row>
    <row r="1404" spans="1:20" x14ac:dyDescent="0.25">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t="s">
        <v>58</v>
      </c>
      <c r="T1404" t="s">
        <v>34</v>
      </c>
    </row>
    <row r="1405" spans="1:20" x14ac:dyDescent="0.25">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t="s">
        <v>58</v>
      </c>
      <c r="T1405" t="s">
        <v>96</v>
      </c>
    </row>
    <row r="1406" spans="1:20" x14ac:dyDescent="0.25">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t="s">
        <v>83</v>
      </c>
      <c r="T1406" t="s">
        <v>71</v>
      </c>
    </row>
    <row r="1407" spans="1:20" x14ac:dyDescent="0.25">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t="s">
        <v>83</v>
      </c>
      <c r="T1407" t="s">
        <v>161</v>
      </c>
    </row>
    <row r="1408" spans="1:20" x14ac:dyDescent="0.25">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t="s">
        <v>58</v>
      </c>
      <c r="T1408" t="s">
        <v>34</v>
      </c>
    </row>
    <row r="1409" spans="1:20" x14ac:dyDescent="0.25">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t="s">
        <v>58</v>
      </c>
      <c r="T1409" t="s">
        <v>34</v>
      </c>
    </row>
    <row r="1410" spans="1:20" x14ac:dyDescent="0.25">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t="s">
        <v>430</v>
      </c>
      <c r="T1410" t="s">
        <v>96</v>
      </c>
    </row>
    <row r="1411" spans="1:20" x14ac:dyDescent="0.25">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t="s">
        <v>430</v>
      </c>
      <c r="T1411" t="s">
        <v>96</v>
      </c>
    </row>
    <row r="1412" spans="1:20" x14ac:dyDescent="0.25">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t="s">
        <v>47</v>
      </c>
      <c r="T1412" t="s">
        <v>113</v>
      </c>
    </row>
    <row r="1413" spans="1:20" x14ac:dyDescent="0.25">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t="s">
        <v>58</v>
      </c>
      <c r="T1413" t="s">
        <v>34</v>
      </c>
    </row>
    <row r="1414" spans="1:20" x14ac:dyDescent="0.25">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t="s">
        <v>70</v>
      </c>
      <c r="T1414" t="s">
        <v>59</v>
      </c>
    </row>
    <row r="1415" spans="1:20" x14ac:dyDescent="0.25">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t="s">
        <v>58</v>
      </c>
      <c r="T1415" t="s">
        <v>161</v>
      </c>
    </row>
    <row r="1416" spans="1:20" x14ac:dyDescent="0.25">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t="s">
        <v>58</v>
      </c>
      <c r="T1416" t="s">
        <v>71</v>
      </c>
    </row>
    <row r="1417" spans="1:20" x14ac:dyDescent="0.25">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t="s">
        <v>70</v>
      </c>
      <c r="T1417" t="s">
        <v>59</v>
      </c>
    </row>
    <row r="1418" spans="1:20" x14ac:dyDescent="0.25">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t="s">
        <v>83</v>
      </c>
      <c r="T1418" t="s">
        <v>77</v>
      </c>
    </row>
    <row r="1419" spans="1:20" x14ac:dyDescent="0.25">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t="s">
        <v>83</v>
      </c>
      <c r="T1419" t="s">
        <v>77</v>
      </c>
    </row>
    <row r="1420" spans="1:20" x14ac:dyDescent="0.25">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t="s">
        <v>70</v>
      </c>
      <c r="T1420" t="s">
        <v>71</v>
      </c>
    </row>
    <row r="1421" spans="1:20" x14ac:dyDescent="0.25">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t="s">
        <v>83</v>
      </c>
      <c r="T1421" t="s">
        <v>113</v>
      </c>
    </row>
    <row r="1422" spans="1:20" x14ac:dyDescent="0.25">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t="s">
        <v>83</v>
      </c>
      <c r="T1422" t="s">
        <v>113</v>
      </c>
    </row>
    <row r="1423" spans="1:20" x14ac:dyDescent="0.25">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t="s">
        <v>58</v>
      </c>
      <c r="T1423" t="s">
        <v>77</v>
      </c>
    </row>
    <row r="1424" spans="1:20" x14ac:dyDescent="0.25">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t="s">
        <v>58</v>
      </c>
      <c r="T1424" t="s">
        <v>77</v>
      </c>
    </row>
    <row r="1425" spans="1:20" x14ac:dyDescent="0.25">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t="s">
        <v>33</v>
      </c>
      <c r="T1425" t="s">
        <v>71</v>
      </c>
    </row>
    <row r="1426" spans="1:20" x14ac:dyDescent="0.25">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t="s">
        <v>33</v>
      </c>
      <c r="T1426" t="s">
        <v>71</v>
      </c>
    </row>
    <row r="1427" spans="1:20" x14ac:dyDescent="0.25">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t="s">
        <v>47</v>
      </c>
      <c r="T1427" t="s">
        <v>77</v>
      </c>
    </row>
    <row r="1428" spans="1:20" x14ac:dyDescent="0.25">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t="s">
        <v>58</v>
      </c>
      <c r="T1428" t="s">
        <v>34</v>
      </c>
    </row>
    <row r="1429" spans="1:20" x14ac:dyDescent="0.25">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t="s">
        <v>83</v>
      </c>
      <c r="T1429" t="s">
        <v>34</v>
      </c>
    </row>
    <row r="1430" spans="1:20" x14ac:dyDescent="0.25">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t="s">
        <v>430</v>
      </c>
      <c r="T1430" t="s">
        <v>253</v>
      </c>
    </row>
    <row r="1431" spans="1:20" x14ac:dyDescent="0.25">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t="s">
        <v>430</v>
      </c>
      <c r="T1431" t="s">
        <v>253</v>
      </c>
    </row>
    <row r="1432" spans="1:20" x14ac:dyDescent="0.25">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t="s">
        <v>47</v>
      </c>
      <c r="T1432" t="s">
        <v>96</v>
      </c>
    </row>
    <row r="1433" spans="1:20" x14ac:dyDescent="0.25">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t="s">
        <v>47</v>
      </c>
      <c r="T1433" t="s">
        <v>96</v>
      </c>
    </row>
    <row r="1434" spans="1:20" x14ac:dyDescent="0.25">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t="s">
        <v>58</v>
      </c>
      <c r="T1434" t="s">
        <v>195</v>
      </c>
    </row>
    <row r="1435" spans="1:20" x14ac:dyDescent="0.25">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t="s">
        <v>123</v>
      </c>
      <c r="T1435" t="s">
        <v>77</v>
      </c>
    </row>
    <row r="1436" spans="1:20" x14ac:dyDescent="0.25">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t="s">
        <v>123</v>
      </c>
      <c r="T1436" t="s">
        <v>77</v>
      </c>
    </row>
    <row r="1437" spans="1:20" x14ac:dyDescent="0.25">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t="s">
        <v>83</v>
      </c>
      <c r="T1437" t="s">
        <v>59</v>
      </c>
    </row>
    <row r="1438" spans="1:20" x14ac:dyDescent="0.25">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t="s">
        <v>83</v>
      </c>
      <c r="T1438" t="s">
        <v>96</v>
      </c>
    </row>
    <row r="1439" spans="1:20" x14ac:dyDescent="0.25">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t="s">
        <v>83</v>
      </c>
      <c r="T1439" t="s">
        <v>96</v>
      </c>
    </row>
    <row r="1440" spans="1:20" x14ac:dyDescent="0.25">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t="s">
        <v>83</v>
      </c>
      <c r="T1440" t="s">
        <v>96</v>
      </c>
    </row>
    <row r="1441" spans="1:20" x14ac:dyDescent="0.25">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t="s">
        <v>83</v>
      </c>
      <c r="T1441" t="s">
        <v>71</v>
      </c>
    </row>
    <row r="1442" spans="1:20" x14ac:dyDescent="0.25">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t="s">
        <v>430</v>
      </c>
      <c r="T1442" t="s">
        <v>77</v>
      </c>
    </row>
    <row r="1443" spans="1:20" x14ac:dyDescent="0.25">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t="s">
        <v>58</v>
      </c>
      <c r="T1443" t="s">
        <v>48</v>
      </c>
    </row>
    <row r="1444" spans="1:20" x14ac:dyDescent="0.25">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t="s">
        <v>58</v>
      </c>
      <c r="T1444" t="s">
        <v>77</v>
      </c>
    </row>
    <row r="1445" spans="1:20" x14ac:dyDescent="0.25">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t="s">
        <v>129</v>
      </c>
      <c r="T1445" t="s">
        <v>71</v>
      </c>
    </row>
    <row r="1446" spans="1:20" x14ac:dyDescent="0.25">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t="s">
        <v>58</v>
      </c>
      <c r="T1446" t="s">
        <v>113</v>
      </c>
    </row>
    <row r="1447" spans="1:20" x14ac:dyDescent="0.25">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t="s">
        <v>83</v>
      </c>
      <c r="T1447" t="s">
        <v>169</v>
      </c>
    </row>
    <row r="1448" spans="1:20" x14ac:dyDescent="0.25">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t="s">
        <v>58</v>
      </c>
      <c r="T1448" t="s">
        <v>113</v>
      </c>
    </row>
    <row r="1449" spans="1:20" x14ac:dyDescent="0.25">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t="s">
        <v>47</v>
      </c>
      <c r="T1449" t="s">
        <v>253</v>
      </c>
    </row>
    <row r="1450" spans="1:20" x14ac:dyDescent="0.25">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t="s">
        <v>58</v>
      </c>
      <c r="T1450" t="s">
        <v>77</v>
      </c>
    </row>
    <row r="1451" spans="1:20" x14ac:dyDescent="0.25">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t="s">
        <v>430</v>
      </c>
      <c r="T1451" t="s">
        <v>48</v>
      </c>
    </row>
    <row r="1452" spans="1:20" x14ac:dyDescent="0.25">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t="s">
        <v>83</v>
      </c>
      <c r="T1452" t="s">
        <v>96</v>
      </c>
    </row>
    <row r="1453" spans="1:20" x14ac:dyDescent="0.25">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t="s">
        <v>83</v>
      </c>
      <c r="T1453" t="s">
        <v>96</v>
      </c>
    </row>
    <row r="1454" spans="1:20" x14ac:dyDescent="0.25">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t="s">
        <v>83</v>
      </c>
      <c r="T1454" t="s">
        <v>161</v>
      </c>
    </row>
    <row r="1455" spans="1:20" x14ac:dyDescent="0.25">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t="s">
        <v>83</v>
      </c>
      <c r="T1455" t="s">
        <v>77</v>
      </c>
    </row>
    <row r="1456" spans="1:20" x14ac:dyDescent="0.25">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t="s">
        <v>70</v>
      </c>
      <c r="T1456" t="s">
        <v>161</v>
      </c>
    </row>
    <row r="1457" spans="1:20" x14ac:dyDescent="0.25">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t="s">
        <v>58</v>
      </c>
      <c r="T1457" t="s">
        <v>96</v>
      </c>
    </row>
    <row r="1458" spans="1:20" x14ac:dyDescent="0.25">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t="s">
        <v>83</v>
      </c>
      <c r="T1458" t="s">
        <v>71</v>
      </c>
    </row>
    <row r="1459" spans="1:20" x14ac:dyDescent="0.25">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t="s">
        <v>58</v>
      </c>
      <c r="T1459" t="s">
        <v>96</v>
      </c>
    </row>
    <row r="1460" spans="1:20" x14ac:dyDescent="0.25">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t="s">
        <v>83</v>
      </c>
      <c r="T1460" t="s">
        <v>34</v>
      </c>
    </row>
    <row r="1461" spans="1:20" x14ac:dyDescent="0.25">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t="s">
        <v>83</v>
      </c>
      <c r="T1461" t="s">
        <v>71</v>
      </c>
    </row>
    <row r="1462" spans="1:20" x14ac:dyDescent="0.25">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t="s">
        <v>70</v>
      </c>
      <c r="T1462" t="s">
        <v>77</v>
      </c>
    </row>
    <row r="1463" spans="1:20" x14ac:dyDescent="0.25">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t="s">
        <v>83</v>
      </c>
      <c r="T1463" t="s">
        <v>77</v>
      </c>
    </row>
    <row r="1464" spans="1:20" x14ac:dyDescent="0.25">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t="s">
        <v>83</v>
      </c>
      <c r="T1464" t="s">
        <v>113</v>
      </c>
    </row>
    <row r="1465" spans="1:20" x14ac:dyDescent="0.25">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t="s">
        <v>430</v>
      </c>
      <c r="T1465" t="s">
        <v>34</v>
      </c>
    </row>
    <row r="1466" spans="1:20" x14ac:dyDescent="0.25">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t="s">
        <v>58</v>
      </c>
      <c r="T1466" t="s">
        <v>71</v>
      </c>
    </row>
    <row r="1467" spans="1:20" x14ac:dyDescent="0.25">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t="s">
        <v>33</v>
      </c>
      <c r="T1467" t="s">
        <v>169</v>
      </c>
    </row>
    <row r="1468" spans="1:20" x14ac:dyDescent="0.25">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t="s">
        <v>83</v>
      </c>
      <c r="T1468" t="s">
        <v>59</v>
      </c>
    </row>
    <row r="1469" spans="1:20" x14ac:dyDescent="0.25">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t="s">
        <v>58</v>
      </c>
      <c r="T1469" t="s">
        <v>34</v>
      </c>
    </row>
    <row r="1470" spans="1:20" x14ac:dyDescent="0.25">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t="s">
        <v>83</v>
      </c>
      <c r="T1470" t="s">
        <v>195</v>
      </c>
    </row>
    <row r="1471" spans="1:20" x14ac:dyDescent="0.25">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t="s">
        <v>70</v>
      </c>
      <c r="T1471" t="s">
        <v>253</v>
      </c>
    </row>
    <row r="1472" spans="1:20" x14ac:dyDescent="0.25">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t="s">
        <v>83</v>
      </c>
      <c r="T1472" t="s">
        <v>34</v>
      </c>
    </row>
    <row r="1473" spans="1:20" x14ac:dyDescent="0.25">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t="s">
        <v>129</v>
      </c>
      <c r="T1473" t="s">
        <v>96</v>
      </c>
    </row>
    <row r="1474" spans="1:20" x14ac:dyDescent="0.25">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t="s">
        <v>83</v>
      </c>
      <c r="T1474" t="s">
        <v>253</v>
      </c>
    </row>
    <row r="1475" spans="1:20" x14ac:dyDescent="0.25">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t="s">
        <v>83</v>
      </c>
      <c r="T1475" t="s">
        <v>253</v>
      </c>
    </row>
    <row r="1476" spans="1:20" x14ac:dyDescent="0.25">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t="s">
        <v>70</v>
      </c>
      <c r="T1476" t="s">
        <v>96</v>
      </c>
    </row>
    <row r="1477" spans="1:20" x14ac:dyDescent="0.25">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t="s">
        <v>83</v>
      </c>
      <c r="T1477" t="s">
        <v>253</v>
      </c>
    </row>
    <row r="1478" spans="1:20" x14ac:dyDescent="0.25">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t="s">
        <v>58</v>
      </c>
      <c r="T1478" t="s">
        <v>34</v>
      </c>
    </row>
    <row r="1479" spans="1:20" x14ac:dyDescent="0.25">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t="s">
        <v>83</v>
      </c>
      <c r="T1479" t="s">
        <v>34</v>
      </c>
    </row>
    <row r="1480" spans="1:20" x14ac:dyDescent="0.25">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t="s">
        <v>129</v>
      </c>
      <c r="T1480" t="s">
        <v>96</v>
      </c>
    </row>
    <row r="1481" spans="1:20" x14ac:dyDescent="0.25">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t="s">
        <v>58</v>
      </c>
      <c r="T1481" t="s">
        <v>71</v>
      </c>
    </row>
    <row r="1482" spans="1:20" x14ac:dyDescent="0.25">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t="s">
        <v>83</v>
      </c>
      <c r="T1482" t="s">
        <v>113</v>
      </c>
    </row>
    <row r="1483" spans="1:20" x14ac:dyDescent="0.25">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t="s">
        <v>430</v>
      </c>
      <c r="T1483" t="s">
        <v>96</v>
      </c>
    </row>
    <row r="1484" spans="1:20" x14ac:dyDescent="0.25">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t="s">
        <v>430</v>
      </c>
      <c r="T1484" t="s">
        <v>96</v>
      </c>
    </row>
    <row r="1485" spans="1:20" x14ac:dyDescent="0.25">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t="s">
        <v>83</v>
      </c>
      <c r="T1485" t="s">
        <v>77</v>
      </c>
    </row>
    <row r="1486" spans="1:20" x14ac:dyDescent="0.25">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t="s">
        <v>70</v>
      </c>
      <c r="T1486" t="s">
        <v>59</v>
      </c>
    </row>
    <row r="1487" spans="1:20" x14ac:dyDescent="0.25">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t="s">
        <v>70</v>
      </c>
      <c r="T1487" t="s">
        <v>59</v>
      </c>
    </row>
    <row r="1488" spans="1:20" x14ac:dyDescent="0.25">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t="s">
        <v>123</v>
      </c>
      <c r="T1488" t="s">
        <v>161</v>
      </c>
    </row>
    <row r="1489" spans="1:20" x14ac:dyDescent="0.25">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t="s">
        <v>47</v>
      </c>
      <c r="T1489" t="s">
        <v>96</v>
      </c>
    </row>
    <row r="1490" spans="1:20" x14ac:dyDescent="0.25">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t="s">
        <v>47</v>
      </c>
      <c r="T1490" t="s">
        <v>253</v>
      </c>
    </row>
    <row r="1491" spans="1:20" x14ac:dyDescent="0.25">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t="s">
        <v>129</v>
      </c>
      <c r="T1491" t="s">
        <v>34</v>
      </c>
    </row>
    <row r="1492" spans="1:20" x14ac:dyDescent="0.25">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t="s">
        <v>58</v>
      </c>
      <c r="T1492" t="s">
        <v>34</v>
      </c>
    </row>
    <row r="1493" spans="1:20" x14ac:dyDescent="0.25">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t="s">
        <v>58</v>
      </c>
      <c r="T1493" t="s">
        <v>34</v>
      </c>
    </row>
    <row r="1494" spans="1:20" x14ac:dyDescent="0.25">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t="s">
        <v>58</v>
      </c>
      <c r="T1494" t="s">
        <v>34</v>
      </c>
    </row>
    <row r="1495" spans="1:20" x14ac:dyDescent="0.25">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t="s">
        <v>47</v>
      </c>
      <c r="T1495" t="s">
        <v>34</v>
      </c>
    </row>
    <row r="1496" spans="1:20" x14ac:dyDescent="0.25">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t="s">
        <v>430</v>
      </c>
      <c r="T1496" t="s">
        <v>77</v>
      </c>
    </row>
    <row r="1497" spans="1:20" x14ac:dyDescent="0.25">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t="s">
        <v>58</v>
      </c>
      <c r="T1497" t="s">
        <v>34</v>
      </c>
    </row>
    <row r="1498" spans="1:20" x14ac:dyDescent="0.25">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t="s">
        <v>58</v>
      </c>
      <c r="T1498" t="s">
        <v>195</v>
      </c>
    </row>
    <row r="1499" spans="1:20" x14ac:dyDescent="0.25">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t="s">
        <v>83</v>
      </c>
      <c r="T1499" t="s">
        <v>96</v>
      </c>
    </row>
    <row r="1500" spans="1:20" x14ac:dyDescent="0.25">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t="s">
        <v>33</v>
      </c>
      <c r="T1500" t="s">
        <v>96</v>
      </c>
    </row>
    <row r="1501" spans="1:20" x14ac:dyDescent="0.25">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t="s">
        <v>70</v>
      </c>
      <c r="T1501" t="s">
        <v>96</v>
      </c>
    </row>
    <row r="1502" spans="1:20" x14ac:dyDescent="0.25">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t="s">
        <v>70</v>
      </c>
      <c r="T1502" t="s">
        <v>71</v>
      </c>
    </row>
    <row r="1503" spans="1:20" x14ac:dyDescent="0.25">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t="s">
        <v>70</v>
      </c>
      <c r="T1503" t="s">
        <v>71</v>
      </c>
    </row>
    <row r="1504" spans="1:20" x14ac:dyDescent="0.25">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t="s">
        <v>129</v>
      </c>
      <c r="T1504" t="s">
        <v>48</v>
      </c>
    </row>
    <row r="1505" spans="1:20" x14ac:dyDescent="0.25">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t="s">
        <v>70</v>
      </c>
      <c r="T1505" t="s">
        <v>113</v>
      </c>
    </row>
    <row r="1506" spans="1:20" x14ac:dyDescent="0.25">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t="s">
        <v>47</v>
      </c>
      <c r="T1506" t="s">
        <v>253</v>
      </c>
    </row>
    <row r="1507" spans="1:20" x14ac:dyDescent="0.25">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t="s">
        <v>47</v>
      </c>
      <c r="T1507" t="s">
        <v>253</v>
      </c>
    </row>
    <row r="1508" spans="1:20" x14ac:dyDescent="0.25">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t="s">
        <v>33</v>
      </c>
      <c r="T1508" t="s">
        <v>34</v>
      </c>
    </row>
    <row r="1509" spans="1:20" x14ac:dyDescent="0.25">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t="s">
        <v>83</v>
      </c>
      <c r="T1509" t="s">
        <v>34</v>
      </c>
    </row>
    <row r="1510" spans="1:20" x14ac:dyDescent="0.25">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t="s">
        <v>129</v>
      </c>
      <c r="T1510" t="s">
        <v>34</v>
      </c>
    </row>
    <row r="1511" spans="1:20" x14ac:dyDescent="0.25">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t="s">
        <v>430</v>
      </c>
      <c r="T1511" t="s">
        <v>48</v>
      </c>
    </row>
    <row r="1512" spans="1:20" x14ac:dyDescent="0.25">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t="s">
        <v>83</v>
      </c>
      <c r="T1512" t="s">
        <v>96</v>
      </c>
    </row>
    <row r="1513" spans="1:20" x14ac:dyDescent="0.25">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t="s">
        <v>83</v>
      </c>
      <c r="T1513" t="s">
        <v>48</v>
      </c>
    </row>
    <row r="1514" spans="1:20" x14ac:dyDescent="0.25">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t="s">
        <v>83</v>
      </c>
      <c r="T1514" t="s">
        <v>71</v>
      </c>
    </row>
    <row r="1515" spans="1:20" x14ac:dyDescent="0.25">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t="s">
        <v>83</v>
      </c>
      <c r="T1515" t="s">
        <v>195</v>
      </c>
    </row>
    <row r="1516" spans="1:20" x14ac:dyDescent="0.25">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t="s">
        <v>129</v>
      </c>
      <c r="T1516" t="s">
        <v>96</v>
      </c>
    </row>
    <row r="1517" spans="1:20" x14ac:dyDescent="0.25">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t="s">
        <v>70</v>
      </c>
      <c r="T1517" t="s">
        <v>113</v>
      </c>
    </row>
    <row r="1518" spans="1:20" x14ac:dyDescent="0.25">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t="s">
        <v>70</v>
      </c>
      <c r="T1518" t="s">
        <v>113</v>
      </c>
    </row>
    <row r="1519" spans="1:20" x14ac:dyDescent="0.25">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t="s">
        <v>58</v>
      </c>
      <c r="T1519" t="s">
        <v>253</v>
      </c>
    </row>
    <row r="1520" spans="1:20" x14ac:dyDescent="0.25">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t="s">
        <v>58</v>
      </c>
      <c r="T1520" t="s">
        <v>195</v>
      </c>
    </row>
    <row r="1521" spans="1:20" x14ac:dyDescent="0.25">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t="s">
        <v>58</v>
      </c>
      <c r="T1521" t="s">
        <v>161</v>
      </c>
    </row>
    <row r="1522" spans="1:20" x14ac:dyDescent="0.25">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t="s">
        <v>33</v>
      </c>
      <c r="T1522" t="s">
        <v>34</v>
      </c>
    </row>
    <row r="1523" spans="1:20" x14ac:dyDescent="0.25">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t="s">
        <v>129</v>
      </c>
      <c r="T1523" t="s">
        <v>169</v>
      </c>
    </row>
    <row r="1524" spans="1:20" x14ac:dyDescent="0.25">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t="s">
        <v>129</v>
      </c>
      <c r="T1524" t="s">
        <v>77</v>
      </c>
    </row>
    <row r="1525" spans="1:20" x14ac:dyDescent="0.25">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t="s">
        <v>83</v>
      </c>
      <c r="T1525" t="s">
        <v>34</v>
      </c>
    </row>
    <row r="1526" spans="1:20" x14ac:dyDescent="0.25">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t="s">
        <v>83</v>
      </c>
      <c r="T1526" t="s">
        <v>77</v>
      </c>
    </row>
    <row r="1527" spans="1:20" x14ac:dyDescent="0.25">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t="s">
        <v>58</v>
      </c>
      <c r="T1527" t="s">
        <v>59</v>
      </c>
    </row>
    <row r="1528" spans="1:20" x14ac:dyDescent="0.25">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t="s">
        <v>129</v>
      </c>
      <c r="T1528" t="s">
        <v>169</v>
      </c>
    </row>
    <row r="1529" spans="1:20" x14ac:dyDescent="0.25">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t="s">
        <v>58</v>
      </c>
      <c r="T1529" t="s">
        <v>161</v>
      </c>
    </row>
    <row r="1530" spans="1:20" x14ac:dyDescent="0.25">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t="s">
        <v>33</v>
      </c>
      <c r="T1530" t="s">
        <v>34</v>
      </c>
    </row>
    <row r="1531" spans="1:20" x14ac:dyDescent="0.25">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t="s">
        <v>33</v>
      </c>
      <c r="T1531" t="s">
        <v>34</v>
      </c>
    </row>
    <row r="1532" spans="1:20" x14ac:dyDescent="0.25">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t="s">
        <v>33</v>
      </c>
      <c r="T1532" t="s">
        <v>34</v>
      </c>
    </row>
    <row r="1533" spans="1:20" x14ac:dyDescent="0.25">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t="s">
        <v>83</v>
      </c>
      <c r="T1533" t="s">
        <v>77</v>
      </c>
    </row>
    <row r="1534" spans="1:20" x14ac:dyDescent="0.25">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t="s">
        <v>83</v>
      </c>
      <c r="T1534" t="s">
        <v>195</v>
      </c>
    </row>
    <row r="1535" spans="1:20" x14ac:dyDescent="0.25">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t="s">
        <v>70</v>
      </c>
      <c r="T1535" t="s">
        <v>34</v>
      </c>
    </row>
    <row r="1536" spans="1:20" x14ac:dyDescent="0.25">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t="s">
        <v>83</v>
      </c>
      <c r="T1536" t="s">
        <v>48</v>
      </c>
    </row>
    <row r="1537" spans="1:20" x14ac:dyDescent="0.25">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t="s">
        <v>33</v>
      </c>
      <c r="T1537" t="s">
        <v>34</v>
      </c>
    </row>
    <row r="1538" spans="1:20" x14ac:dyDescent="0.25">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t="s">
        <v>33</v>
      </c>
      <c r="T1538" t="s">
        <v>96</v>
      </c>
    </row>
    <row r="1539" spans="1:20" x14ac:dyDescent="0.25">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t="s">
        <v>129</v>
      </c>
      <c r="T1539" t="s">
        <v>195</v>
      </c>
    </row>
    <row r="1540" spans="1:20" x14ac:dyDescent="0.25">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t="s">
        <v>123</v>
      </c>
      <c r="T1540" t="s">
        <v>34</v>
      </c>
    </row>
    <row r="1541" spans="1:20" x14ac:dyDescent="0.25">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t="s">
        <v>129</v>
      </c>
      <c r="T1541" t="s">
        <v>113</v>
      </c>
    </row>
    <row r="1542" spans="1:20" x14ac:dyDescent="0.25">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t="s">
        <v>129</v>
      </c>
      <c r="T1542" t="s">
        <v>113</v>
      </c>
    </row>
    <row r="1543" spans="1:20" x14ac:dyDescent="0.25">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t="s">
        <v>58</v>
      </c>
      <c r="T1543" t="s">
        <v>96</v>
      </c>
    </row>
    <row r="1544" spans="1:20" x14ac:dyDescent="0.25">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t="s">
        <v>33</v>
      </c>
      <c r="T1544" t="s">
        <v>96</v>
      </c>
    </row>
    <row r="1545" spans="1:20" x14ac:dyDescent="0.25">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t="s">
        <v>129</v>
      </c>
      <c r="T1545" t="s">
        <v>71</v>
      </c>
    </row>
    <row r="1546" spans="1:20" x14ac:dyDescent="0.25">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t="s">
        <v>129</v>
      </c>
      <c r="T1546" t="s">
        <v>71</v>
      </c>
    </row>
    <row r="1547" spans="1:20" x14ac:dyDescent="0.25">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t="s">
        <v>129</v>
      </c>
      <c r="T1547" t="s">
        <v>96</v>
      </c>
    </row>
    <row r="1548" spans="1:20" x14ac:dyDescent="0.25">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t="s">
        <v>129</v>
      </c>
      <c r="T1548" t="s">
        <v>96</v>
      </c>
    </row>
    <row r="1549" spans="1:20" x14ac:dyDescent="0.25">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t="s">
        <v>58</v>
      </c>
      <c r="T1549" t="s">
        <v>48</v>
      </c>
    </row>
    <row r="1550" spans="1:20" x14ac:dyDescent="0.25">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t="s">
        <v>83</v>
      </c>
      <c r="T1550" t="s">
        <v>96</v>
      </c>
    </row>
    <row r="1551" spans="1:20" x14ac:dyDescent="0.25">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t="s">
        <v>70</v>
      </c>
      <c r="T1551" t="s">
        <v>113</v>
      </c>
    </row>
    <row r="1552" spans="1:20" x14ac:dyDescent="0.25">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t="s">
        <v>129</v>
      </c>
      <c r="T1552" t="s">
        <v>34</v>
      </c>
    </row>
    <row r="1553" spans="1:20" x14ac:dyDescent="0.25">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t="s">
        <v>58</v>
      </c>
      <c r="T1553" t="s">
        <v>77</v>
      </c>
    </row>
    <row r="1554" spans="1:20" x14ac:dyDescent="0.25">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t="s">
        <v>83</v>
      </c>
      <c r="T1554" t="s">
        <v>34</v>
      </c>
    </row>
    <row r="1555" spans="1:20" x14ac:dyDescent="0.25">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t="s">
        <v>83</v>
      </c>
      <c r="T1555" t="s">
        <v>34</v>
      </c>
    </row>
    <row r="1556" spans="1:20" x14ac:dyDescent="0.25">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t="s">
        <v>58</v>
      </c>
      <c r="T1556" t="s">
        <v>96</v>
      </c>
    </row>
    <row r="1557" spans="1:20" x14ac:dyDescent="0.25">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t="s">
        <v>58</v>
      </c>
      <c r="T1557" t="s">
        <v>96</v>
      </c>
    </row>
    <row r="1558" spans="1:20" x14ac:dyDescent="0.25">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t="s">
        <v>58</v>
      </c>
      <c r="T1558" t="s">
        <v>77</v>
      </c>
    </row>
    <row r="1559" spans="1:20" x14ac:dyDescent="0.25">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t="s">
        <v>58</v>
      </c>
      <c r="T1559" t="s">
        <v>161</v>
      </c>
    </row>
    <row r="1560" spans="1:20" x14ac:dyDescent="0.25">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t="s">
        <v>58</v>
      </c>
      <c r="T1560" t="s">
        <v>161</v>
      </c>
    </row>
    <row r="1561" spans="1:20" x14ac:dyDescent="0.25">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t="s">
        <v>58</v>
      </c>
      <c r="T1561" t="s">
        <v>161</v>
      </c>
    </row>
    <row r="1562" spans="1:20" x14ac:dyDescent="0.25">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t="s">
        <v>58</v>
      </c>
      <c r="T1562" t="s">
        <v>161</v>
      </c>
    </row>
    <row r="1563" spans="1:20" x14ac:dyDescent="0.25">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t="s">
        <v>47</v>
      </c>
      <c r="T1563" t="s">
        <v>161</v>
      </c>
    </row>
    <row r="1564" spans="1:20" x14ac:dyDescent="0.25">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t="s">
        <v>83</v>
      </c>
      <c r="T1564" t="s">
        <v>113</v>
      </c>
    </row>
    <row r="1565" spans="1:20" x14ac:dyDescent="0.25">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t="s">
        <v>83</v>
      </c>
      <c r="T1565" t="s">
        <v>161</v>
      </c>
    </row>
    <row r="1566" spans="1:20" x14ac:dyDescent="0.25">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t="s">
        <v>70</v>
      </c>
      <c r="T1566" t="s">
        <v>195</v>
      </c>
    </row>
    <row r="1567" spans="1:20" x14ac:dyDescent="0.25">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t="s">
        <v>83</v>
      </c>
      <c r="T1567" t="s">
        <v>113</v>
      </c>
    </row>
    <row r="1568" spans="1:20" x14ac:dyDescent="0.25">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t="s">
        <v>70</v>
      </c>
      <c r="T1568" t="s">
        <v>59</v>
      </c>
    </row>
    <row r="1569" spans="1:20" x14ac:dyDescent="0.25">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t="s">
        <v>70</v>
      </c>
      <c r="T1569" t="s">
        <v>59</v>
      </c>
    </row>
    <row r="1570" spans="1:20" x14ac:dyDescent="0.25">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t="s">
        <v>33</v>
      </c>
      <c r="T1570" t="s">
        <v>195</v>
      </c>
    </row>
    <row r="1571" spans="1:20" x14ac:dyDescent="0.25">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t="s">
        <v>83</v>
      </c>
      <c r="T1571" t="s">
        <v>77</v>
      </c>
    </row>
    <row r="1572" spans="1:20" x14ac:dyDescent="0.25">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t="s">
        <v>83</v>
      </c>
      <c r="T1572" t="s">
        <v>297</v>
      </c>
    </row>
    <row r="1573" spans="1:20" x14ac:dyDescent="0.25">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t="s">
        <v>33</v>
      </c>
      <c r="T1573" t="s">
        <v>34</v>
      </c>
    </row>
    <row r="1574" spans="1:20" x14ac:dyDescent="0.25">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t="s">
        <v>58</v>
      </c>
      <c r="T1574" t="s">
        <v>77</v>
      </c>
    </row>
    <row r="1575" spans="1:20" x14ac:dyDescent="0.25">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t="s">
        <v>70</v>
      </c>
      <c r="T1575" t="s">
        <v>113</v>
      </c>
    </row>
    <row r="1576" spans="1:20" x14ac:dyDescent="0.25">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t="s">
        <v>70</v>
      </c>
      <c r="T1576" t="s">
        <v>113</v>
      </c>
    </row>
    <row r="1577" spans="1:20" x14ac:dyDescent="0.25">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t="s">
        <v>83</v>
      </c>
      <c r="T1577" t="s">
        <v>34</v>
      </c>
    </row>
    <row r="1578" spans="1:20" x14ac:dyDescent="0.25">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t="s">
        <v>58</v>
      </c>
      <c r="T1578" t="s">
        <v>77</v>
      </c>
    </row>
    <row r="1579" spans="1:20" x14ac:dyDescent="0.25">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t="s">
        <v>83</v>
      </c>
      <c r="T1579" t="s">
        <v>169</v>
      </c>
    </row>
    <row r="1580" spans="1:20" x14ac:dyDescent="0.25">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t="s">
        <v>70</v>
      </c>
      <c r="T1580" t="s">
        <v>96</v>
      </c>
    </row>
    <row r="1581" spans="1:20" x14ac:dyDescent="0.25">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t="s">
        <v>58</v>
      </c>
      <c r="T1581" t="s">
        <v>96</v>
      </c>
    </row>
    <row r="1582" spans="1:20" x14ac:dyDescent="0.25">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t="s">
        <v>129</v>
      </c>
      <c r="T1582" t="s">
        <v>77</v>
      </c>
    </row>
    <row r="1583" spans="1:20" x14ac:dyDescent="0.25">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t="s">
        <v>58</v>
      </c>
      <c r="T1583" t="s">
        <v>77</v>
      </c>
    </row>
    <row r="1584" spans="1:20" x14ac:dyDescent="0.25">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t="s">
        <v>83</v>
      </c>
      <c r="T1584" t="s">
        <v>71</v>
      </c>
    </row>
    <row r="1585" spans="1:20" x14ac:dyDescent="0.25">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t="s">
        <v>83</v>
      </c>
      <c r="T1585" t="s">
        <v>71</v>
      </c>
    </row>
    <row r="1586" spans="1:20" x14ac:dyDescent="0.25">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t="s">
        <v>83</v>
      </c>
      <c r="T1586" t="s">
        <v>71</v>
      </c>
    </row>
    <row r="1587" spans="1:20" x14ac:dyDescent="0.25">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t="s">
        <v>129</v>
      </c>
      <c r="T1587" t="s">
        <v>77</v>
      </c>
    </row>
    <row r="1588" spans="1:20" x14ac:dyDescent="0.25">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t="s">
        <v>129</v>
      </c>
      <c r="T1588" t="s">
        <v>77</v>
      </c>
    </row>
    <row r="1589" spans="1:20" x14ac:dyDescent="0.25">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t="s">
        <v>430</v>
      </c>
      <c r="T1589" t="s">
        <v>77</v>
      </c>
    </row>
    <row r="1590" spans="1:20" x14ac:dyDescent="0.25">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t="s">
        <v>70</v>
      </c>
      <c r="T1590" t="s">
        <v>59</v>
      </c>
    </row>
    <row r="1591" spans="1:20" x14ac:dyDescent="0.25">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t="s">
        <v>70</v>
      </c>
      <c r="T1591" t="s">
        <v>59</v>
      </c>
    </row>
    <row r="1592" spans="1:20" x14ac:dyDescent="0.25">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t="s">
        <v>83</v>
      </c>
      <c r="T1592" t="s">
        <v>297</v>
      </c>
    </row>
    <row r="1593" spans="1:20" x14ac:dyDescent="0.25">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t="s">
        <v>83</v>
      </c>
      <c r="T1593" t="s">
        <v>297</v>
      </c>
    </row>
    <row r="1594" spans="1:20" x14ac:dyDescent="0.25">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t="s">
        <v>58</v>
      </c>
      <c r="T1594" t="s">
        <v>96</v>
      </c>
    </row>
    <row r="1595" spans="1:20" x14ac:dyDescent="0.25">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t="s">
        <v>83</v>
      </c>
      <c r="T1595" t="s">
        <v>96</v>
      </c>
    </row>
    <row r="1596" spans="1:20" x14ac:dyDescent="0.25">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t="s">
        <v>83</v>
      </c>
      <c r="T1596" t="s">
        <v>96</v>
      </c>
    </row>
    <row r="1597" spans="1:20" x14ac:dyDescent="0.25">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t="s">
        <v>83</v>
      </c>
      <c r="T1597" t="s">
        <v>96</v>
      </c>
    </row>
    <row r="1598" spans="1:20" x14ac:dyDescent="0.25">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t="s">
        <v>70</v>
      </c>
      <c r="T1598" t="s">
        <v>77</v>
      </c>
    </row>
    <row r="1599" spans="1:20" x14ac:dyDescent="0.25">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t="s">
        <v>83</v>
      </c>
      <c r="T1599" t="s">
        <v>161</v>
      </c>
    </row>
    <row r="1600" spans="1:20" x14ac:dyDescent="0.25">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t="s">
        <v>83</v>
      </c>
      <c r="T1600" t="s">
        <v>34</v>
      </c>
    </row>
    <row r="1601" spans="1:20" x14ac:dyDescent="0.25">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t="s">
        <v>70</v>
      </c>
      <c r="T1601" t="s">
        <v>96</v>
      </c>
    </row>
    <row r="1602" spans="1:20" x14ac:dyDescent="0.25">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t="s">
        <v>83</v>
      </c>
      <c r="T1602" t="s">
        <v>77</v>
      </c>
    </row>
    <row r="1603" spans="1:20" x14ac:dyDescent="0.25">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t="s">
        <v>70</v>
      </c>
      <c r="T1603" t="s">
        <v>169</v>
      </c>
    </row>
    <row r="1604" spans="1:20" x14ac:dyDescent="0.25">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t="s">
        <v>70</v>
      </c>
      <c r="T1604" t="s">
        <v>169</v>
      </c>
    </row>
    <row r="1605" spans="1:20" x14ac:dyDescent="0.25">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t="s">
        <v>58</v>
      </c>
      <c r="T1605" t="s">
        <v>48</v>
      </c>
    </row>
    <row r="1606" spans="1:20" x14ac:dyDescent="0.25">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t="s">
        <v>33</v>
      </c>
      <c r="T1606" t="s">
        <v>96</v>
      </c>
    </row>
    <row r="1607" spans="1:20" x14ac:dyDescent="0.25">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t="s">
        <v>58</v>
      </c>
      <c r="T1607" t="s">
        <v>113</v>
      </c>
    </row>
    <row r="1608" spans="1:20" x14ac:dyDescent="0.25">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t="s">
        <v>129</v>
      </c>
      <c r="T1608" t="s">
        <v>34</v>
      </c>
    </row>
    <row r="1609" spans="1:20" x14ac:dyDescent="0.25">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t="s">
        <v>83</v>
      </c>
      <c r="T1609" t="s">
        <v>77</v>
      </c>
    </row>
    <row r="1610" spans="1:20" x14ac:dyDescent="0.25">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t="s">
        <v>83</v>
      </c>
      <c r="T1610" t="s">
        <v>77</v>
      </c>
    </row>
    <row r="1611" spans="1:20" x14ac:dyDescent="0.25">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t="s">
        <v>83</v>
      </c>
      <c r="T1611" t="s">
        <v>77</v>
      </c>
    </row>
    <row r="1612" spans="1:20" x14ac:dyDescent="0.25">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t="s">
        <v>83</v>
      </c>
      <c r="T1612" t="s">
        <v>161</v>
      </c>
    </row>
    <row r="1613" spans="1:20" x14ac:dyDescent="0.25">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t="s">
        <v>83</v>
      </c>
      <c r="T1613" t="s">
        <v>161</v>
      </c>
    </row>
    <row r="1614" spans="1:20" x14ac:dyDescent="0.25">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t="s">
        <v>83</v>
      </c>
      <c r="T1614" t="s">
        <v>253</v>
      </c>
    </row>
    <row r="1615" spans="1:20" x14ac:dyDescent="0.25">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t="s">
        <v>70</v>
      </c>
      <c r="T1615" t="s">
        <v>48</v>
      </c>
    </row>
    <row r="1616" spans="1:20" x14ac:dyDescent="0.25">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t="s">
        <v>83</v>
      </c>
      <c r="T1616" t="s">
        <v>34</v>
      </c>
    </row>
    <row r="1617" spans="1:20" x14ac:dyDescent="0.25">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t="s">
        <v>83</v>
      </c>
      <c r="T1617" t="s">
        <v>161</v>
      </c>
    </row>
    <row r="1618" spans="1:20" x14ac:dyDescent="0.25">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t="s">
        <v>70</v>
      </c>
      <c r="T1618" t="s">
        <v>195</v>
      </c>
    </row>
    <row r="1619" spans="1:20" x14ac:dyDescent="0.25">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t="s">
        <v>33</v>
      </c>
      <c r="T1619" t="s">
        <v>96</v>
      </c>
    </row>
    <row r="1620" spans="1:20" x14ac:dyDescent="0.25">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t="s">
        <v>33</v>
      </c>
      <c r="T1620" t="s">
        <v>96</v>
      </c>
    </row>
    <row r="1621" spans="1:20" x14ac:dyDescent="0.25">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t="s">
        <v>33</v>
      </c>
      <c r="T1621" t="s">
        <v>96</v>
      </c>
    </row>
    <row r="1622" spans="1:20" x14ac:dyDescent="0.25">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t="s">
        <v>129</v>
      </c>
      <c r="T1622" t="s">
        <v>195</v>
      </c>
    </row>
    <row r="1623" spans="1:20" x14ac:dyDescent="0.25">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t="s">
        <v>129</v>
      </c>
      <c r="T1623" t="s">
        <v>113</v>
      </c>
    </row>
    <row r="1624" spans="1:20" x14ac:dyDescent="0.25">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t="s">
        <v>123</v>
      </c>
      <c r="T1624" t="s">
        <v>195</v>
      </c>
    </row>
    <row r="1625" spans="1:20" x14ac:dyDescent="0.25">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t="s">
        <v>83</v>
      </c>
      <c r="T1625" t="s">
        <v>96</v>
      </c>
    </row>
    <row r="1626" spans="1:20" x14ac:dyDescent="0.25">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t="s">
        <v>70</v>
      </c>
      <c r="T1626" t="s">
        <v>34</v>
      </c>
    </row>
    <row r="1627" spans="1:20" x14ac:dyDescent="0.25">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t="s">
        <v>430</v>
      </c>
      <c r="T1627" t="s">
        <v>113</v>
      </c>
    </row>
    <row r="1628" spans="1:20" x14ac:dyDescent="0.25">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t="s">
        <v>58</v>
      </c>
      <c r="T1628" t="s">
        <v>169</v>
      </c>
    </row>
    <row r="1629" spans="1:20" x14ac:dyDescent="0.25">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t="s">
        <v>83</v>
      </c>
      <c r="T1629" t="s">
        <v>48</v>
      </c>
    </row>
    <row r="1630" spans="1:20" x14ac:dyDescent="0.25">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t="s">
        <v>70</v>
      </c>
      <c r="T1630" t="s">
        <v>34</v>
      </c>
    </row>
    <row r="1631" spans="1:20" x14ac:dyDescent="0.25">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t="s">
        <v>70</v>
      </c>
      <c r="T1631" t="s">
        <v>34</v>
      </c>
    </row>
    <row r="1632" spans="1:20" x14ac:dyDescent="0.25">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t="s">
        <v>70</v>
      </c>
      <c r="T1632" t="s">
        <v>34</v>
      </c>
    </row>
    <row r="1633" spans="1:20" x14ac:dyDescent="0.25">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t="s">
        <v>47</v>
      </c>
      <c r="T1633" t="s">
        <v>96</v>
      </c>
    </row>
    <row r="1634" spans="1:20" x14ac:dyDescent="0.25">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t="s">
        <v>47</v>
      </c>
      <c r="T1634" t="s">
        <v>96</v>
      </c>
    </row>
    <row r="1635" spans="1:20" x14ac:dyDescent="0.25">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t="s">
        <v>83</v>
      </c>
      <c r="T1635" t="s">
        <v>34</v>
      </c>
    </row>
    <row r="1636" spans="1:20" x14ac:dyDescent="0.25">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t="s">
        <v>70</v>
      </c>
      <c r="T1636" t="s">
        <v>71</v>
      </c>
    </row>
    <row r="1637" spans="1:20" x14ac:dyDescent="0.25">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t="s">
        <v>430</v>
      </c>
      <c r="T1637" t="s">
        <v>195</v>
      </c>
    </row>
    <row r="1638" spans="1:20" x14ac:dyDescent="0.25">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t="s">
        <v>83</v>
      </c>
      <c r="T1638" t="s">
        <v>96</v>
      </c>
    </row>
    <row r="1639" spans="1:20" x14ac:dyDescent="0.25">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t="s">
        <v>47</v>
      </c>
      <c r="T1639" t="s">
        <v>253</v>
      </c>
    </row>
    <row r="1640" spans="1:20" x14ac:dyDescent="0.25">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t="s">
        <v>70</v>
      </c>
      <c r="T1640" t="s">
        <v>48</v>
      </c>
    </row>
    <row r="1641" spans="1:20" x14ac:dyDescent="0.25">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t="s">
        <v>83</v>
      </c>
      <c r="T1641" t="s">
        <v>77</v>
      </c>
    </row>
    <row r="1642" spans="1:20" x14ac:dyDescent="0.25">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t="s">
        <v>129</v>
      </c>
      <c r="T1642" t="s">
        <v>59</v>
      </c>
    </row>
    <row r="1643" spans="1:20" x14ac:dyDescent="0.25">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t="s">
        <v>129</v>
      </c>
      <c r="T1643" t="s">
        <v>59</v>
      </c>
    </row>
    <row r="1644" spans="1:20" x14ac:dyDescent="0.25">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t="s">
        <v>33</v>
      </c>
      <c r="T1644" t="s">
        <v>34</v>
      </c>
    </row>
    <row r="1645" spans="1:20" x14ac:dyDescent="0.25">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t="s">
        <v>33</v>
      </c>
      <c r="T1645" t="s">
        <v>34</v>
      </c>
    </row>
    <row r="1646" spans="1:20" x14ac:dyDescent="0.25">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t="s">
        <v>430</v>
      </c>
      <c r="T1646" t="s">
        <v>253</v>
      </c>
    </row>
    <row r="1647" spans="1:20" x14ac:dyDescent="0.25">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t="s">
        <v>70</v>
      </c>
      <c r="T1647" t="s">
        <v>34</v>
      </c>
    </row>
    <row r="1648" spans="1:20" x14ac:dyDescent="0.25">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t="s">
        <v>33</v>
      </c>
      <c r="T1648" t="s">
        <v>161</v>
      </c>
    </row>
    <row r="1649" spans="1:20" x14ac:dyDescent="0.25">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t="s">
        <v>33</v>
      </c>
      <c r="T1649" t="s">
        <v>195</v>
      </c>
    </row>
    <row r="1650" spans="1:20" x14ac:dyDescent="0.25">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t="s">
        <v>58</v>
      </c>
      <c r="T1650" t="s">
        <v>195</v>
      </c>
    </row>
    <row r="1651" spans="1:20" x14ac:dyDescent="0.25">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t="s">
        <v>123</v>
      </c>
      <c r="T1651" t="s">
        <v>297</v>
      </c>
    </row>
    <row r="1652" spans="1:20" x14ac:dyDescent="0.25">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t="s">
        <v>123</v>
      </c>
      <c r="T1652" t="s">
        <v>297</v>
      </c>
    </row>
    <row r="1653" spans="1:20" x14ac:dyDescent="0.25">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t="s">
        <v>70</v>
      </c>
      <c r="T1653" t="s">
        <v>59</v>
      </c>
    </row>
    <row r="1654" spans="1:20" x14ac:dyDescent="0.25">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t="s">
        <v>47</v>
      </c>
      <c r="T1654" t="s">
        <v>161</v>
      </c>
    </row>
    <row r="1655" spans="1:20" x14ac:dyDescent="0.25">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t="s">
        <v>83</v>
      </c>
      <c r="T1655" t="s">
        <v>297</v>
      </c>
    </row>
    <row r="1656" spans="1:20" x14ac:dyDescent="0.25">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t="s">
        <v>58</v>
      </c>
      <c r="T1656" t="s">
        <v>113</v>
      </c>
    </row>
    <row r="1657" spans="1:20" x14ac:dyDescent="0.25">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t="s">
        <v>83</v>
      </c>
      <c r="T1657" t="s">
        <v>113</v>
      </c>
    </row>
    <row r="1658" spans="1:20" x14ac:dyDescent="0.25">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t="s">
        <v>58</v>
      </c>
      <c r="T1658" t="s">
        <v>77</v>
      </c>
    </row>
    <row r="1659" spans="1:20" x14ac:dyDescent="0.25">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t="s">
        <v>58</v>
      </c>
      <c r="T1659" t="s">
        <v>195</v>
      </c>
    </row>
    <row r="1660" spans="1:20" x14ac:dyDescent="0.25">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t="s">
        <v>83</v>
      </c>
      <c r="T1660" t="s">
        <v>71</v>
      </c>
    </row>
    <row r="1661" spans="1:20" x14ac:dyDescent="0.25">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t="s">
        <v>83</v>
      </c>
      <c r="T1661" t="s">
        <v>297</v>
      </c>
    </row>
    <row r="1662" spans="1:20" x14ac:dyDescent="0.25">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t="s">
        <v>58</v>
      </c>
      <c r="T1662" t="s">
        <v>71</v>
      </c>
    </row>
    <row r="1663" spans="1:20" x14ac:dyDescent="0.25">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t="s">
        <v>58</v>
      </c>
      <c r="T1663" t="s">
        <v>71</v>
      </c>
    </row>
    <row r="1664" spans="1:20" x14ac:dyDescent="0.25">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t="s">
        <v>83</v>
      </c>
      <c r="T1664" t="s">
        <v>48</v>
      </c>
    </row>
    <row r="1665" spans="1:20" x14ac:dyDescent="0.25">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t="s">
        <v>58</v>
      </c>
      <c r="T1665" t="s">
        <v>34</v>
      </c>
    </row>
    <row r="1666" spans="1:20" x14ac:dyDescent="0.25">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t="s">
        <v>47</v>
      </c>
      <c r="T1666" t="s">
        <v>59</v>
      </c>
    </row>
    <row r="1667" spans="1:20" x14ac:dyDescent="0.25">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t="s">
        <v>33</v>
      </c>
      <c r="T1667" t="s">
        <v>96</v>
      </c>
    </row>
    <row r="1668" spans="1:20" x14ac:dyDescent="0.25">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t="s">
        <v>33</v>
      </c>
      <c r="T1668" t="s">
        <v>96</v>
      </c>
    </row>
    <row r="1669" spans="1:20" x14ac:dyDescent="0.25">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t="s">
        <v>33</v>
      </c>
      <c r="T1669" t="s">
        <v>96</v>
      </c>
    </row>
    <row r="1670" spans="1:20" x14ac:dyDescent="0.25">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t="s">
        <v>83</v>
      </c>
      <c r="T1670" t="s">
        <v>96</v>
      </c>
    </row>
    <row r="1671" spans="1:20" x14ac:dyDescent="0.25">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t="s">
        <v>58</v>
      </c>
      <c r="T1671" t="s">
        <v>253</v>
      </c>
    </row>
    <row r="1672" spans="1:20" x14ac:dyDescent="0.25">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t="s">
        <v>58</v>
      </c>
      <c r="T1672" t="s">
        <v>253</v>
      </c>
    </row>
    <row r="1673" spans="1:20" x14ac:dyDescent="0.25">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t="s">
        <v>83</v>
      </c>
      <c r="T1673" t="s">
        <v>96</v>
      </c>
    </row>
    <row r="1674" spans="1:20" x14ac:dyDescent="0.25">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t="s">
        <v>83</v>
      </c>
      <c r="T1674" t="s">
        <v>96</v>
      </c>
    </row>
    <row r="1675" spans="1:20" x14ac:dyDescent="0.25">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t="s">
        <v>70</v>
      </c>
      <c r="T1675" t="s">
        <v>113</v>
      </c>
    </row>
    <row r="1676" spans="1:20" x14ac:dyDescent="0.25">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t="s">
        <v>83</v>
      </c>
      <c r="T1676" t="s">
        <v>34</v>
      </c>
    </row>
    <row r="1677" spans="1:20" x14ac:dyDescent="0.25">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t="s">
        <v>83</v>
      </c>
      <c r="T1677" t="s">
        <v>34</v>
      </c>
    </row>
    <row r="1678" spans="1:20" x14ac:dyDescent="0.25">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t="s">
        <v>70</v>
      </c>
      <c r="T1678" t="s">
        <v>71</v>
      </c>
    </row>
    <row r="1679" spans="1:20" x14ac:dyDescent="0.25">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t="s">
        <v>58</v>
      </c>
      <c r="T1679" t="s">
        <v>71</v>
      </c>
    </row>
    <row r="1680" spans="1:20" x14ac:dyDescent="0.25">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t="s">
        <v>33</v>
      </c>
      <c r="T1680" t="s">
        <v>96</v>
      </c>
    </row>
    <row r="1681" spans="1:20" x14ac:dyDescent="0.25">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t="s">
        <v>83</v>
      </c>
      <c r="T1681" t="s">
        <v>195</v>
      </c>
    </row>
    <row r="1682" spans="1:20" x14ac:dyDescent="0.25">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t="s">
        <v>83</v>
      </c>
      <c r="T1682" t="s">
        <v>195</v>
      </c>
    </row>
    <row r="1683" spans="1:20" x14ac:dyDescent="0.25">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t="s">
        <v>58</v>
      </c>
      <c r="T1683" t="s">
        <v>48</v>
      </c>
    </row>
    <row r="1684" spans="1:20" x14ac:dyDescent="0.25">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t="s">
        <v>58</v>
      </c>
      <c r="T1684" t="s">
        <v>48</v>
      </c>
    </row>
    <row r="1685" spans="1:20" x14ac:dyDescent="0.25">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t="s">
        <v>58</v>
      </c>
      <c r="T1685" t="s">
        <v>48</v>
      </c>
    </row>
    <row r="1686" spans="1:20" x14ac:dyDescent="0.25">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t="s">
        <v>70</v>
      </c>
      <c r="T1686" t="s">
        <v>48</v>
      </c>
    </row>
    <row r="1687" spans="1:20" x14ac:dyDescent="0.25">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t="s">
        <v>70</v>
      </c>
      <c r="T1687" t="s">
        <v>48</v>
      </c>
    </row>
    <row r="1688" spans="1:20" x14ac:dyDescent="0.25">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t="s">
        <v>83</v>
      </c>
      <c r="T1688" t="s">
        <v>253</v>
      </c>
    </row>
    <row r="1689" spans="1:20" x14ac:dyDescent="0.25">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t="s">
        <v>33</v>
      </c>
      <c r="T1689" t="s">
        <v>77</v>
      </c>
    </row>
    <row r="1690" spans="1:20" x14ac:dyDescent="0.25">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t="s">
        <v>33</v>
      </c>
      <c r="T1690" t="s">
        <v>34</v>
      </c>
    </row>
    <row r="1691" spans="1:20" x14ac:dyDescent="0.25">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t="s">
        <v>70</v>
      </c>
      <c r="T1691" t="s">
        <v>34</v>
      </c>
    </row>
    <row r="1692" spans="1:20" x14ac:dyDescent="0.25">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t="s">
        <v>33</v>
      </c>
      <c r="T1692" t="s">
        <v>161</v>
      </c>
    </row>
    <row r="1693" spans="1:20" x14ac:dyDescent="0.25">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t="s">
        <v>70</v>
      </c>
      <c r="T1693" t="s">
        <v>96</v>
      </c>
    </row>
    <row r="1694" spans="1:20" x14ac:dyDescent="0.25">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t="s">
        <v>70</v>
      </c>
      <c r="T1694" t="s">
        <v>96</v>
      </c>
    </row>
    <row r="1695" spans="1:20" x14ac:dyDescent="0.25">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t="s">
        <v>47</v>
      </c>
      <c r="T1695" t="s">
        <v>34</v>
      </c>
    </row>
    <row r="1696" spans="1:20" x14ac:dyDescent="0.25">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t="s">
        <v>430</v>
      </c>
      <c r="T1696" t="s">
        <v>161</v>
      </c>
    </row>
    <row r="1697" spans="1:20" x14ac:dyDescent="0.25">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t="s">
        <v>70</v>
      </c>
      <c r="T1697" t="s">
        <v>77</v>
      </c>
    </row>
    <row r="1698" spans="1:20" x14ac:dyDescent="0.25">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t="s">
        <v>83</v>
      </c>
      <c r="T1698" t="s">
        <v>71</v>
      </c>
    </row>
    <row r="1699" spans="1:20" x14ac:dyDescent="0.25">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t="s">
        <v>83</v>
      </c>
      <c r="T1699" t="s">
        <v>77</v>
      </c>
    </row>
    <row r="1700" spans="1:20" x14ac:dyDescent="0.25">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t="s">
        <v>83</v>
      </c>
      <c r="T1700" t="s">
        <v>169</v>
      </c>
    </row>
    <row r="1701" spans="1:20" x14ac:dyDescent="0.25">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t="s">
        <v>33</v>
      </c>
      <c r="T1701" t="s">
        <v>59</v>
      </c>
    </row>
    <row r="1702" spans="1:20" x14ac:dyDescent="0.25">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t="s">
        <v>70</v>
      </c>
      <c r="T1702" t="s">
        <v>59</v>
      </c>
    </row>
    <row r="1703" spans="1:20" x14ac:dyDescent="0.25">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t="s">
        <v>83</v>
      </c>
      <c r="T1703" t="s">
        <v>253</v>
      </c>
    </row>
    <row r="1704" spans="1:20" x14ac:dyDescent="0.25">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t="s">
        <v>83</v>
      </c>
      <c r="T1704" t="s">
        <v>195</v>
      </c>
    </row>
    <row r="1705" spans="1:20" x14ac:dyDescent="0.25">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t="s">
        <v>83</v>
      </c>
      <c r="T1705" t="s">
        <v>77</v>
      </c>
    </row>
    <row r="1706" spans="1:20" x14ac:dyDescent="0.25">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t="s">
        <v>47</v>
      </c>
      <c r="T1706" t="s">
        <v>253</v>
      </c>
    </row>
    <row r="1707" spans="1:20" x14ac:dyDescent="0.25">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t="s">
        <v>47</v>
      </c>
      <c r="T1707" t="s">
        <v>253</v>
      </c>
    </row>
    <row r="1708" spans="1:20" x14ac:dyDescent="0.25">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t="s">
        <v>83</v>
      </c>
      <c r="T1708" t="s">
        <v>48</v>
      </c>
    </row>
    <row r="1709" spans="1:20" x14ac:dyDescent="0.25">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t="s">
        <v>83</v>
      </c>
      <c r="T1709" t="s">
        <v>169</v>
      </c>
    </row>
    <row r="1710" spans="1:20" x14ac:dyDescent="0.25">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t="s">
        <v>83</v>
      </c>
      <c r="T1710" t="s">
        <v>169</v>
      </c>
    </row>
    <row r="1711" spans="1:20" x14ac:dyDescent="0.25">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t="s">
        <v>129</v>
      </c>
      <c r="T1711" t="s">
        <v>59</v>
      </c>
    </row>
    <row r="1712" spans="1:20" x14ac:dyDescent="0.25">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t="s">
        <v>129</v>
      </c>
      <c r="T1712" t="s">
        <v>48</v>
      </c>
    </row>
    <row r="1713" spans="1:20" x14ac:dyDescent="0.25">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t="s">
        <v>58</v>
      </c>
      <c r="T1713" t="s">
        <v>71</v>
      </c>
    </row>
    <row r="1714" spans="1:20" x14ac:dyDescent="0.25">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t="s">
        <v>70</v>
      </c>
      <c r="T1714" t="s">
        <v>297</v>
      </c>
    </row>
    <row r="1715" spans="1:20" x14ac:dyDescent="0.25">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t="s">
        <v>47</v>
      </c>
      <c r="T1715" t="s">
        <v>96</v>
      </c>
    </row>
    <row r="1716" spans="1:20" x14ac:dyDescent="0.25">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t="s">
        <v>58</v>
      </c>
      <c r="T1716" t="s">
        <v>34</v>
      </c>
    </row>
    <row r="1717" spans="1:20" x14ac:dyDescent="0.25">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t="s">
        <v>70</v>
      </c>
      <c r="T1717" t="s">
        <v>96</v>
      </c>
    </row>
    <row r="1718" spans="1:20" x14ac:dyDescent="0.25">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t="s">
        <v>70</v>
      </c>
      <c r="T1718" t="s">
        <v>96</v>
      </c>
    </row>
    <row r="1719" spans="1:20" x14ac:dyDescent="0.25">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t="s">
        <v>129</v>
      </c>
      <c r="T1719" t="s">
        <v>253</v>
      </c>
    </row>
    <row r="1720" spans="1:20" x14ac:dyDescent="0.25">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t="s">
        <v>58</v>
      </c>
      <c r="T1720" t="s">
        <v>71</v>
      </c>
    </row>
    <row r="1721" spans="1:20" x14ac:dyDescent="0.25">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t="s">
        <v>58</v>
      </c>
      <c r="T1721" t="s">
        <v>34</v>
      </c>
    </row>
    <row r="1722" spans="1:20" x14ac:dyDescent="0.25">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t="s">
        <v>58</v>
      </c>
      <c r="T1722" t="s">
        <v>34</v>
      </c>
    </row>
    <row r="1723" spans="1:20" x14ac:dyDescent="0.25">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t="s">
        <v>58</v>
      </c>
      <c r="T1723" t="s">
        <v>77</v>
      </c>
    </row>
    <row r="1724" spans="1:20" x14ac:dyDescent="0.25">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t="s">
        <v>129</v>
      </c>
      <c r="T1724" t="s">
        <v>253</v>
      </c>
    </row>
    <row r="1725" spans="1:20" x14ac:dyDescent="0.25">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t="s">
        <v>58</v>
      </c>
      <c r="T1725" t="s">
        <v>48</v>
      </c>
    </row>
    <row r="1726" spans="1:20" x14ac:dyDescent="0.25">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t="s">
        <v>83</v>
      </c>
      <c r="T1726" t="s">
        <v>253</v>
      </c>
    </row>
    <row r="1727" spans="1:20" x14ac:dyDescent="0.25">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t="s">
        <v>83</v>
      </c>
      <c r="T1727" t="s">
        <v>34</v>
      </c>
    </row>
    <row r="1728" spans="1:20" x14ac:dyDescent="0.25">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t="s">
        <v>58</v>
      </c>
      <c r="T1728" t="s">
        <v>297</v>
      </c>
    </row>
    <row r="1729" spans="1:20" x14ac:dyDescent="0.25">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t="s">
        <v>33</v>
      </c>
      <c r="T1729" t="s">
        <v>169</v>
      </c>
    </row>
    <row r="1730" spans="1:20" x14ac:dyDescent="0.25">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t="s">
        <v>58</v>
      </c>
      <c r="T1730" t="s">
        <v>48</v>
      </c>
    </row>
    <row r="1731" spans="1:20" x14ac:dyDescent="0.25">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t="s">
        <v>83</v>
      </c>
      <c r="T1731" t="s">
        <v>297</v>
      </c>
    </row>
    <row r="1732" spans="1:20" x14ac:dyDescent="0.25">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t="s">
        <v>83</v>
      </c>
      <c r="T1732" t="s">
        <v>34</v>
      </c>
    </row>
    <row r="1733" spans="1:20" x14ac:dyDescent="0.25">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t="s">
        <v>83</v>
      </c>
      <c r="T1733" t="s">
        <v>34</v>
      </c>
    </row>
    <row r="1734" spans="1:20" x14ac:dyDescent="0.25">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t="s">
        <v>58</v>
      </c>
      <c r="T1734" t="s">
        <v>71</v>
      </c>
    </row>
    <row r="1735" spans="1:20" x14ac:dyDescent="0.25">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t="s">
        <v>47</v>
      </c>
      <c r="T1735" t="s">
        <v>34</v>
      </c>
    </row>
    <row r="1736" spans="1:20" x14ac:dyDescent="0.25">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t="s">
        <v>47</v>
      </c>
      <c r="T1736" t="s">
        <v>34</v>
      </c>
    </row>
    <row r="1737" spans="1:20" x14ac:dyDescent="0.25">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t="s">
        <v>83</v>
      </c>
      <c r="T1737" t="s">
        <v>253</v>
      </c>
    </row>
    <row r="1738" spans="1:20" x14ac:dyDescent="0.25">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t="s">
        <v>83</v>
      </c>
      <c r="T1738" t="s">
        <v>34</v>
      </c>
    </row>
    <row r="1739" spans="1:20" x14ac:dyDescent="0.25">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t="s">
        <v>83</v>
      </c>
      <c r="T1739" t="s">
        <v>161</v>
      </c>
    </row>
    <row r="1740" spans="1:20" x14ac:dyDescent="0.25">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t="s">
        <v>83</v>
      </c>
      <c r="T1740" t="s">
        <v>161</v>
      </c>
    </row>
    <row r="1741" spans="1:20" x14ac:dyDescent="0.25">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t="s">
        <v>83</v>
      </c>
      <c r="T1741" t="s">
        <v>77</v>
      </c>
    </row>
    <row r="1742" spans="1:20" x14ac:dyDescent="0.25">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t="s">
        <v>83</v>
      </c>
      <c r="T1742" t="s">
        <v>34</v>
      </c>
    </row>
    <row r="1743" spans="1:20" x14ac:dyDescent="0.25">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t="s">
        <v>33</v>
      </c>
      <c r="T1743" t="s">
        <v>34</v>
      </c>
    </row>
    <row r="1744" spans="1:20" x14ac:dyDescent="0.25">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t="s">
        <v>430</v>
      </c>
      <c r="T1744" t="s">
        <v>34</v>
      </c>
    </row>
    <row r="1745" spans="1:20" x14ac:dyDescent="0.25">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t="s">
        <v>430</v>
      </c>
      <c r="T1745" t="s">
        <v>34</v>
      </c>
    </row>
    <row r="1746" spans="1:20" x14ac:dyDescent="0.25">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t="s">
        <v>83</v>
      </c>
      <c r="T1746" t="s">
        <v>113</v>
      </c>
    </row>
    <row r="1747" spans="1:20" x14ac:dyDescent="0.25">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t="s">
        <v>58</v>
      </c>
      <c r="T1747" t="s">
        <v>34</v>
      </c>
    </row>
    <row r="1748" spans="1:20" x14ac:dyDescent="0.25">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t="s">
        <v>83</v>
      </c>
      <c r="T1748" t="s">
        <v>48</v>
      </c>
    </row>
    <row r="1749" spans="1:20" x14ac:dyDescent="0.25">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t="s">
        <v>83</v>
      </c>
      <c r="T1749" t="s">
        <v>113</v>
      </c>
    </row>
    <row r="1750" spans="1:20" x14ac:dyDescent="0.25">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t="s">
        <v>70</v>
      </c>
      <c r="T1750" t="s">
        <v>59</v>
      </c>
    </row>
    <row r="1751" spans="1:20" x14ac:dyDescent="0.25">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t="s">
        <v>58</v>
      </c>
      <c r="T1751" t="s">
        <v>161</v>
      </c>
    </row>
    <row r="1752" spans="1:20" x14ac:dyDescent="0.25">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t="s">
        <v>58</v>
      </c>
      <c r="T1752" t="s">
        <v>161</v>
      </c>
    </row>
    <row r="1753" spans="1:20" x14ac:dyDescent="0.25">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t="s">
        <v>430</v>
      </c>
      <c r="T1753" t="s">
        <v>48</v>
      </c>
    </row>
    <row r="1754" spans="1:20" x14ac:dyDescent="0.25">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t="s">
        <v>83</v>
      </c>
      <c r="T1754" t="s">
        <v>253</v>
      </c>
    </row>
    <row r="1755" spans="1:20" x14ac:dyDescent="0.25">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t="s">
        <v>83</v>
      </c>
      <c r="T1755" t="s">
        <v>195</v>
      </c>
    </row>
    <row r="1756" spans="1:20" x14ac:dyDescent="0.25">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t="s">
        <v>47</v>
      </c>
      <c r="T1756" t="s">
        <v>169</v>
      </c>
    </row>
    <row r="1757" spans="1:20" x14ac:dyDescent="0.25">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t="s">
        <v>129</v>
      </c>
      <c r="T1757" t="s">
        <v>96</v>
      </c>
    </row>
    <row r="1758" spans="1:20" x14ac:dyDescent="0.25">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t="s">
        <v>58</v>
      </c>
      <c r="T1758" t="s">
        <v>48</v>
      </c>
    </row>
    <row r="1759" spans="1:20" x14ac:dyDescent="0.25">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t="s">
        <v>123</v>
      </c>
      <c r="T1759" t="s">
        <v>161</v>
      </c>
    </row>
    <row r="1760" spans="1:20" x14ac:dyDescent="0.25">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t="s">
        <v>58</v>
      </c>
      <c r="T1760" t="s">
        <v>96</v>
      </c>
    </row>
    <row r="1761" spans="1:20" x14ac:dyDescent="0.25">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t="s">
        <v>129</v>
      </c>
      <c r="T1761" t="s">
        <v>71</v>
      </c>
    </row>
    <row r="1762" spans="1:20" x14ac:dyDescent="0.25">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t="s">
        <v>129</v>
      </c>
      <c r="T1762" t="s">
        <v>71</v>
      </c>
    </row>
    <row r="1763" spans="1:20" x14ac:dyDescent="0.25">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t="s">
        <v>129</v>
      </c>
      <c r="T1763" t="s">
        <v>34</v>
      </c>
    </row>
    <row r="1764" spans="1:20" x14ac:dyDescent="0.25">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t="s">
        <v>129</v>
      </c>
      <c r="T1764" t="s">
        <v>195</v>
      </c>
    </row>
    <row r="1765" spans="1:20" x14ac:dyDescent="0.25">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t="s">
        <v>58</v>
      </c>
      <c r="T1765" t="s">
        <v>169</v>
      </c>
    </row>
    <row r="1766" spans="1:20" x14ac:dyDescent="0.25">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t="s">
        <v>83</v>
      </c>
      <c r="T1766" t="s">
        <v>71</v>
      </c>
    </row>
    <row r="1767" spans="1:20" x14ac:dyDescent="0.25">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t="s">
        <v>33</v>
      </c>
      <c r="T1767" t="s">
        <v>195</v>
      </c>
    </row>
    <row r="1768" spans="1:20" x14ac:dyDescent="0.25">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t="s">
        <v>83</v>
      </c>
      <c r="T1768" t="s">
        <v>113</v>
      </c>
    </row>
    <row r="1769" spans="1:20" x14ac:dyDescent="0.25">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t="s">
        <v>83</v>
      </c>
      <c r="T1769" t="s">
        <v>195</v>
      </c>
    </row>
    <row r="1770" spans="1:20" x14ac:dyDescent="0.25">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t="s">
        <v>83</v>
      </c>
      <c r="T1770" t="s">
        <v>195</v>
      </c>
    </row>
    <row r="1771" spans="1:20" x14ac:dyDescent="0.25">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t="s">
        <v>83</v>
      </c>
      <c r="T1771" t="s">
        <v>113</v>
      </c>
    </row>
    <row r="1772" spans="1:20" x14ac:dyDescent="0.25">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t="s">
        <v>83</v>
      </c>
      <c r="T1772" t="s">
        <v>113</v>
      </c>
    </row>
    <row r="1773" spans="1:20" x14ac:dyDescent="0.25">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t="s">
        <v>83</v>
      </c>
      <c r="T1773" t="s">
        <v>113</v>
      </c>
    </row>
    <row r="1774" spans="1:20" x14ac:dyDescent="0.25">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t="s">
        <v>58</v>
      </c>
      <c r="T1774" t="s">
        <v>161</v>
      </c>
    </row>
    <row r="1775" spans="1:20" x14ac:dyDescent="0.25">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t="s">
        <v>58</v>
      </c>
      <c r="T1775" t="s">
        <v>161</v>
      </c>
    </row>
    <row r="1776" spans="1:20" x14ac:dyDescent="0.25">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t="s">
        <v>83</v>
      </c>
      <c r="T1776" t="s">
        <v>253</v>
      </c>
    </row>
    <row r="1777" spans="1:20" x14ac:dyDescent="0.25">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t="s">
        <v>70</v>
      </c>
      <c r="T1777" t="s">
        <v>169</v>
      </c>
    </row>
    <row r="1778" spans="1:20" x14ac:dyDescent="0.25">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t="s">
        <v>58</v>
      </c>
      <c r="T1778" t="s">
        <v>59</v>
      </c>
    </row>
    <row r="1779" spans="1:20" x14ac:dyDescent="0.25">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t="s">
        <v>83</v>
      </c>
      <c r="T1779" t="s">
        <v>48</v>
      </c>
    </row>
    <row r="1780" spans="1:20" x14ac:dyDescent="0.25">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t="s">
        <v>47</v>
      </c>
      <c r="T1780" t="s">
        <v>34</v>
      </c>
    </row>
    <row r="1781" spans="1:20" x14ac:dyDescent="0.25">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t="s">
        <v>47</v>
      </c>
      <c r="T1781" t="s">
        <v>297</v>
      </c>
    </row>
    <row r="1782" spans="1:20" x14ac:dyDescent="0.25">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t="s">
        <v>47</v>
      </c>
      <c r="T1782" t="s">
        <v>96</v>
      </c>
    </row>
    <row r="1783" spans="1:20" x14ac:dyDescent="0.25">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t="s">
        <v>58</v>
      </c>
      <c r="T1783" t="s">
        <v>96</v>
      </c>
    </row>
    <row r="1784" spans="1:20" x14ac:dyDescent="0.25">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t="s">
        <v>58</v>
      </c>
      <c r="T1784" t="s">
        <v>96</v>
      </c>
    </row>
    <row r="1785" spans="1:20" x14ac:dyDescent="0.25">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t="s">
        <v>58</v>
      </c>
      <c r="T1785" t="s">
        <v>34</v>
      </c>
    </row>
    <row r="1786" spans="1:20" x14ac:dyDescent="0.25">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t="s">
        <v>83</v>
      </c>
      <c r="T1786" t="s">
        <v>96</v>
      </c>
    </row>
    <row r="1787" spans="1:20" x14ac:dyDescent="0.25">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t="s">
        <v>83</v>
      </c>
      <c r="T1787" t="s">
        <v>71</v>
      </c>
    </row>
    <row r="1788" spans="1:20" x14ac:dyDescent="0.25">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t="s">
        <v>83</v>
      </c>
      <c r="T1788" t="s">
        <v>71</v>
      </c>
    </row>
    <row r="1789" spans="1:20" x14ac:dyDescent="0.25">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t="s">
        <v>430</v>
      </c>
      <c r="T1789" t="s">
        <v>34</v>
      </c>
    </row>
    <row r="1790" spans="1:20" x14ac:dyDescent="0.25">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t="s">
        <v>83</v>
      </c>
      <c r="T1790" t="s">
        <v>195</v>
      </c>
    </row>
    <row r="1791" spans="1:20" x14ac:dyDescent="0.25">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t="s">
        <v>70</v>
      </c>
      <c r="T1791" t="s">
        <v>161</v>
      </c>
    </row>
    <row r="1792" spans="1:20" x14ac:dyDescent="0.25">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t="s">
        <v>83</v>
      </c>
      <c r="T1792" t="s">
        <v>48</v>
      </c>
    </row>
    <row r="1793" spans="1:20" x14ac:dyDescent="0.25">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t="s">
        <v>83</v>
      </c>
      <c r="T1793" t="s">
        <v>48</v>
      </c>
    </row>
    <row r="1794" spans="1:20" x14ac:dyDescent="0.25">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t="s">
        <v>70</v>
      </c>
      <c r="T1794" t="s">
        <v>96</v>
      </c>
    </row>
    <row r="1795" spans="1:20" x14ac:dyDescent="0.25">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t="s">
        <v>58</v>
      </c>
      <c r="T1795" t="s">
        <v>34</v>
      </c>
    </row>
    <row r="1796" spans="1:20" x14ac:dyDescent="0.25">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t="s">
        <v>83</v>
      </c>
      <c r="T1796" t="s">
        <v>77</v>
      </c>
    </row>
    <row r="1797" spans="1:20" x14ac:dyDescent="0.25">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t="s">
        <v>123</v>
      </c>
      <c r="T1797" t="s">
        <v>48</v>
      </c>
    </row>
    <row r="1798" spans="1:20" x14ac:dyDescent="0.25">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t="s">
        <v>123</v>
      </c>
      <c r="T1798" t="s">
        <v>48</v>
      </c>
    </row>
    <row r="1799" spans="1:20" x14ac:dyDescent="0.25">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t="s">
        <v>123</v>
      </c>
      <c r="T1799" t="s">
        <v>48</v>
      </c>
    </row>
    <row r="1800" spans="1:20" x14ac:dyDescent="0.25">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t="s">
        <v>123</v>
      </c>
      <c r="T1800" t="s">
        <v>48</v>
      </c>
    </row>
    <row r="1801" spans="1:20" x14ac:dyDescent="0.25">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t="s">
        <v>58</v>
      </c>
      <c r="T1801" t="s">
        <v>113</v>
      </c>
    </row>
    <row r="1802" spans="1:20" x14ac:dyDescent="0.25">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t="s">
        <v>58</v>
      </c>
      <c r="T1802" t="s">
        <v>113</v>
      </c>
    </row>
    <row r="1803" spans="1:20" x14ac:dyDescent="0.25">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t="s">
        <v>58</v>
      </c>
      <c r="T1803" t="s">
        <v>161</v>
      </c>
    </row>
    <row r="1804" spans="1:20" x14ac:dyDescent="0.25">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t="s">
        <v>129</v>
      </c>
      <c r="T1804" t="s">
        <v>34</v>
      </c>
    </row>
    <row r="1805" spans="1:20" x14ac:dyDescent="0.25">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t="s">
        <v>83</v>
      </c>
      <c r="T1805" t="s">
        <v>113</v>
      </c>
    </row>
    <row r="1806" spans="1:20" x14ac:dyDescent="0.25">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t="s">
        <v>83</v>
      </c>
      <c r="T1806" t="s">
        <v>113</v>
      </c>
    </row>
    <row r="1807" spans="1:20" x14ac:dyDescent="0.25">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t="s">
        <v>430</v>
      </c>
      <c r="T1807" t="s">
        <v>77</v>
      </c>
    </row>
    <row r="1808" spans="1:20" x14ac:dyDescent="0.25">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t="s">
        <v>70</v>
      </c>
      <c r="T1808" t="s">
        <v>297</v>
      </c>
    </row>
    <row r="1809" spans="1:20" x14ac:dyDescent="0.25">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t="s">
        <v>70</v>
      </c>
      <c r="T1809" t="s">
        <v>195</v>
      </c>
    </row>
    <row r="1810" spans="1:20" x14ac:dyDescent="0.25">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t="s">
        <v>83</v>
      </c>
      <c r="T1810" t="s">
        <v>161</v>
      </c>
    </row>
    <row r="1811" spans="1:20" x14ac:dyDescent="0.25">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t="s">
        <v>129</v>
      </c>
      <c r="T1811" t="s">
        <v>297</v>
      </c>
    </row>
    <row r="1812" spans="1:20" x14ac:dyDescent="0.25">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t="s">
        <v>33</v>
      </c>
      <c r="T1812" t="s">
        <v>59</v>
      </c>
    </row>
    <row r="1813" spans="1:20" x14ac:dyDescent="0.25">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t="s">
        <v>129</v>
      </c>
      <c r="T1813" t="s">
        <v>96</v>
      </c>
    </row>
    <row r="1814" spans="1:20" x14ac:dyDescent="0.25">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t="s">
        <v>129</v>
      </c>
      <c r="T1814" t="s">
        <v>96</v>
      </c>
    </row>
    <row r="1815" spans="1:20" x14ac:dyDescent="0.25">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t="s">
        <v>129</v>
      </c>
      <c r="T1815" t="s">
        <v>96</v>
      </c>
    </row>
    <row r="1816" spans="1:20" x14ac:dyDescent="0.25">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t="s">
        <v>83</v>
      </c>
      <c r="T1816" t="s">
        <v>169</v>
      </c>
    </row>
    <row r="1817" spans="1:20" x14ac:dyDescent="0.25">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t="s">
        <v>430</v>
      </c>
      <c r="T1817" t="s">
        <v>195</v>
      </c>
    </row>
    <row r="1818" spans="1:20" x14ac:dyDescent="0.25">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t="s">
        <v>47</v>
      </c>
      <c r="T1818" t="s">
        <v>34</v>
      </c>
    </row>
    <row r="1819" spans="1:20" x14ac:dyDescent="0.25">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t="s">
        <v>129</v>
      </c>
      <c r="T1819" t="s">
        <v>34</v>
      </c>
    </row>
    <row r="1820" spans="1:20" x14ac:dyDescent="0.25">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t="s">
        <v>123</v>
      </c>
      <c r="T1820" t="s">
        <v>96</v>
      </c>
    </row>
    <row r="1821" spans="1:20" x14ac:dyDescent="0.25">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t="s">
        <v>83</v>
      </c>
      <c r="T1821" t="s">
        <v>195</v>
      </c>
    </row>
    <row r="1822" spans="1:20" x14ac:dyDescent="0.25">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t="s">
        <v>83</v>
      </c>
      <c r="T1822" t="s">
        <v>195</v>
      </c>
    </row>
    <row r="1823" spans="1:20" x14ac:dyDescent="0.25">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t="s">
        <v>123</v>
      </c>
      <c r="T1823" t="s">
        <v>77</v>
      </c>
    </row>
    <row r="1824" spans="1:20" x14ac:dyDescent="0.25">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t="s">
        <v>70</v>
      </c>
      <c r="T1824" t="s">
        <v>96</v>
      </c>
    </row>
    <row r="1825" spans="1:20" x14ac:dyDescent="0.25">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t="s">
        <v>33</v>
      </c>
      <c r="T1825" t="s">
        <v>96</v>
      </c>
    </row>
    <row r="1826" spans="1:20" x14ac:dyDescent="0.25">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t="s">
        <v>83</v>
      </c>
      <c r="T1826" t="s">
        <v>113</v>
      </c>
    </row>
    <row r="1827" spans="1:20" x14ac:dyDescent="0.25">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t="s">
        <v>83</v>
      </c>
      <c r="T1827" t="s">
        <v>113</v>
      </c>
    </row>
    <row r="1828" spans="1:20" x14ac:dyDescent="0.25">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t="s">
        <v>123</v>
      </c>
      <c r="T1828" t="s">
        <v>71</v>
      </c>
    </row>
    <row r="1829" spans="1:20" x14ac:dyDescent="0.25">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t="s">
        <v>83</v>
      </c>
      <c r="T1829" t="s">
        <v>96</v>
      </c>
    </row>
    <row r="1830" spans="1:20" x14ac:dyDescent="0.25">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t="s">
        <v>70</v>
      </c>
      <c r="T1830" t="s">
        <v>161</v>
      </c>
    </row>
    <row r="1831" spans="1:20" x14ac:dyDescent="0.25">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t="s">
        <v>33</v>
      </c>
      <c r="T1831" t="s">
        <v>113</v>
      </c>
    </row>
    <row r="1832" spans="1:20" x14ac:dyDescent="0.25">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t="s">
        <v>58</v>
      </c>
      <c r="T1832" t="s">
        <v>59</v>
      </c>
    </row>
    <row r="1833" spans="1:20" x14ac:dyDescent="0.25">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t="s">
        <v>58</v>
      </c>
      <c r="T1833" t="s">
        <v>59</v>
      </c>
    </row>
    <row r="1834" spans="1:20" x14ac:dyDescent="0.25">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t="s">
        <v>58</v>
      </c>
      <c r="T1834" t="s">
        <v>59</v>
      </c>
    </row>
    <row r="1835" spans="1:20" x14ac:dyDescent="0.25">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t="s">
        <v>58</v>
      </c>
      <c r="T1835" t="s">
        <v>195</v>
      </c>
    </row>
    <row r="1836" spans="1:20" x14ac:dyDescent="0.25">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t="s">
        <v>33</v>
      </c>
      <c r="T1836" t="s">
        <v>34</v>
      </c>
    </row>
    <row r="1837" spans="1:20" x14ac:dyDescent="0.25">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t="s">
        <v>58</v>
      </c>
      <c r="T1837" t="s">
        <v>77</v>
      </c>
    </row>
    <row r="1838" spans="1:20" x14ac:dyDescent="0.25">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t="s">
        <v>123</v>
      </c>
      <c r="T1838" t="s">
        <v>71</v>
      </c>
    </row>
    <row r="1839" spans="1:20" x14ac:dyDescent="0.25">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t="s">
        <v>83</v>
      </c>
      <c r="T1839" t="s">
        <v>253</v>
      </c>
    </row>
    <row r="1840" spans="1:20" x14ac:dyDescent="0.25">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t="s">
        <v>58</v>
      </c>
      <c r="T1840" t="s">
        <v>113</v>
      </c>
    </row>
    <row r="1841" spans="1:20" x14ac:dyDescent="0.25">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t="s">
        <v>47</v>
      </c>
      <c r="T1841" t="s">
        <v>34</v>
      </c>
    </row>
    <row r="1842" spans="1:20" x14ac:dyDescent="0.25">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t="s">
        <v>83</v>
      </c>
      <c r="T1842" t="s">
        <v>34</v>
      </c>
    </row>
    <row r="1843" spans="1:20" x14ac:dyDescent="0.25">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t="s">
        <v>33</v>
      </c>
      <c r="T1843" t="s">
        <v>96</v>
      </c>
    </row>
    <row r="1844" spans="1:20" x14ac:dyDescent="0.25">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t="s">
        <v>430</v>
      </c>
      <c r="T1844" t="s">
        <v>77</v>
      </c>
    </row>
    <row r="1845" spans="1:20" x14ac:dyDescent="0.25">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t="s">
        <v>58</v>
      </c>
      <c r="T1845" t="s">
        <v>34</v>
      </c>
    </row>
    <row r="1846" spans="1:20" x14ac:dyDescent="0.25">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t="s">
        <v>58</v>
      </c>
      <c r="T1846" t="s">
        <v>161</v>
      </c>
    </row>
    <row r="1847" spans="1:20" x14ac:dyDescent="0.25">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t="s">
        <v>70</v>
      </c>
      <c r="T1847" t="s">
        <v>195</v>
      </c>
    </row>
    <row r="1848" spans="1:20" x14ac:dyDescent="0.25">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t="s">
        <v>58</v>
      </c>
      <c r="T1848" t="s">
        <v>96</v>
      </c>
    </row>
    <row r="1849" spans="1:20" x14ac:dyDescent="0.25">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t="s">
        <v>58</v>
      </c>
      <c r="T1849" t="s">
        <v>297</v>
      </c>
    </row>
    <row r="1850" spans="1:20" x14ac:dyDescent="0.25">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t="s">
        <v>58</v>
      </c>
      <c r="T1850" t="s">
        <v>297</v>
      </c>
    </row>
    <row r="1851" spans="1:20" x14ac:dyDescent="0.25">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t="s">
        <v>70</v>
      </c>
      <c r="T1851" t="s">
        <v>48</v>
      </c>
    </row>
    <row r="1852" spans="1:20" x14ac:dyDescent="0.25">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t="s">
        <v>70</v>
      </c>
      <c r="T1852" t="s">
        <v>77</v>
      </c>
    </row>
    <row r="1853" spans="1:20" x14ac:dyDescent="0.25">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t="s">
        <v>58</v>
      </c>
      <c r="T1853" t="s">
        <v>59</v>
      </c>
    </row>
    <row r="1854" spans="1:20" x14ac:dyDescent="0.25">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t="s">
        <v>58</v>
      </c>
      <c r="T1854" t="s">
        <v>59</v>
      </c>
    </row>
    <row r="1855" spans="1:20" x14ac:dyDescent="0.25">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t="s">
        <v>58</v>
      </c>
      <c r="T1855" t="s">
        <v>77</v>
      </c>
    </row>
    <row r="1856" spans="1:20" x14ac:dyDescent="0.25">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t="s">
        <v>70</v>
      </c>
      <c r="T1856" t="s">
        <v>34</v>
      </c>
    </row>
    <row r="1857" spans="1:20" x14ac:dyDescent="0.25">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t="s">
        <v>83</v>
      </c>
      <c r="T1857" t="s">
        <v>195</v>
      </c>
    </row>
    <row r="1858" spans="1:20" x14ac:dyDescent="0.25">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t="s">
        <v>83</v>
      </c>
      <c r="T1858" t="s">
        <v>96</v>
      </c>
    </row>
    <row r="1859" spans="1:20" x14ac:dyDescent="0.25">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t="s">
        <v>83</v>
      </c>
      <c r="T1859" t="s">
        <v>59</v>
      </c>
    </row>
    <row r="1860" spans="1:20" x14ac:dyDescent="0.25">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t="s">
        <v>83</v>
      </c>
      <c r="T1860" t="s">
        <v>59</v>
      </c>
    </row>
    <row r="1861" spans="1:20" x14ac:dyDescent="0.25">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t="s">
        <v>83</v>
      </c>
      <c r="T1861" t="s">
        <v>96</v>
      </c>
    </row>
    <row r="1862" spans="1:20" x14ac:dyDescent="0.25">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t="s">
        <v>83</v>
      </c>
      <c r="T1862" t="s">
        <v>96</v>
      </c>
    </row>
    <row r="1863" spans="1:20" x14ac:dyDescent="0.25">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t="s">
        <v>70</v>
      </c>
      <c r="T1863" t="s">
        <v>59</v>
      </c>
    </row>
    <row r="1864" spans="1:20" x14ac:dyDescent="0.25">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t="s">
        <v>70</v>
      </c>
      <c r="T1864" t="s">
        <v>48</v>
      </c>
    </row>
    <row r="1865" spans="1:20" x14ac:dyDescent="0.25">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t="s">
        <v>58</v>
      </c>
      <c r="T1865" t="s">
        <v>297</v>
      </c>
    </row>
    <row r="1866" spans="1:20" x14ac:dyDescent="0.25">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t="s">
        <v>83</v>
      </c>
      <c r="T1866" t="s">
        <v>71</v>
      </c>
    </row>
    <row r="1867" spans="1:20" x14ac:dyDescent="0.25">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t="s">
        <v>123</v>
      </c>
      <c r="T1867" t="s">
        <v>77</v>
      </c>
    </row>
    <row r="1868" spans="1:20" x14ac:dyDescent="0.25">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t="s">
        <v>123</v>
      </c>
      <c r="T1868" t="s">
        <v>71</v>
      </c>
    </row>
    <row r="1869" spans="1:20" x14ac:dyDescent="0.25">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t="s">
        <v>58</v>
      </c>
      <c r="T1869" t="s">
        <v>96</v>
      </c>
    </row>
    <row r="1870" spans="1:20" x14ac:dyDescent="0.25">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t="s">
        <v>33</v>
      </c>
      <c r="T1870" t="s">
        <v>195</v>
      </c>
    </row>
    <row r="1871" spans="1:20" x14ac:dyDescent="0.25">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t="s">
        <v>58</v>
      </c>
      <c r="T1871" t="s">
        <v>77</v>
      </c>
    </row>
    <row r="1872" spans="1:20" x14ac:dyDescent="0.25">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t="s">
        <v>83</v>
      </c>
      <c r="T1872" t="s">
        <v>59</v>
      </c>
    </row>
    <row r="1873" spans="1:20" x14ac:dyDescent="0.25">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t="s">
        <v>83</v>
      </c>
      <c r="T1873" t="s">
        <v>59</v>
      </c>
    </row>
    <row r="1874" spans="1:20" x14ac:dyDescent="0.25">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t="s">
        <v>70</v>
      </c>
      <c r="T1874" t="s">
        <v>34</v>
      </c>
    </row>
    <row r="1875" spans="1:20" x14ac:dyDescent="0.25">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t="s">
        <v>83</v>
      </c>
      <c r="T1875" t="s">
        <v>77</v>
      </c>
    </row>
    <row r="1876" spans="1:20" x14ac:dyDescent="0.25">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t="s">
        <v>58</v>
      </c>
      <c r="T1876" t="s">
        <v>71</v>
      </c>
    </row>
    <row r="1877" spans="1:20" x14ac:dyDescent="0.25">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t="s">
        <v>83</v>
      </c>
      <c r="T1877" t="s">
        <v>34</v>
      </c>
    </row>
    <row r="1878" spans="1:20" x14ac:dyDescent="0.25">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t="s">
        <v>70</v>
      </c>
      <c r="T1878" t="s">
        <v>71</v>
      </c>
    </row>
    <row r="1879" spans="1:20" x14ac:dyDescent="0.25">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t="s">
        <v>47</v>
      </c>
      <c r="T1879" t="s">
        <v>77</v>
      </c>
    </row>
    <row r="1880" spans="1:20" x14ac:dyDescent="0.25">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t="s">
        <v>33</v>
      </c>
      <c r="T1880" t="s">
        <v>77</v>
      </c>
    </row>
    <row r="1881" spans="1:20" x14ac:dyDescent="0.25">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t="s">
        <v>58</v>
      </c>
      <c r="T1881" t="s">
        <v>96</v>
      </c>
    </row>
    <row r="1882" spans="1:20" x14ac:dyDescent="0.25">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t="s">
        <v>129</v>
      </c>
      <c r="T1882" t="s">
        <v>96</v>
      </c>
    </row>
    <row r="1883" spans="1:20" x14ac:dyDescent="0.25">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t="s">
        <v>70</v>
      </c>
      <c r="T1883" t="s">
        <v>77</v>
      </c>
    </row>
    <row r="1884" spans="1:20" x14ac:dyDescent="0.25">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t="s">
        <v>58</v>
      </c>
      <c r="T1884" t="s">
        <v>96</v>
      </c>
    </row>
    <row r="1885" spans="1:20" x14ac:dyDescent="0.25">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t="s">
        <v>47</v>
      </c>
      <c r="T1885" t="s">
        <v>253</v>
      </c>
    </row>
    <row r="1886" spans="1:20" x14ac:dyDescent="0.25">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t="s">
        <v>47</v>
      </c>
      <c r="T1886" t="s">
        <v>253</v>
      </c>
    </row>
    <row r="1887" spans="1:20" x14ac:dyDescent="0.25">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t="s">
        <v>83</v>
      </c>
      <c r="T1887" t="s">
        <v>161</v>
      </c>
    </row>
    <row r="1888" spans="1:20" x14ac:dyDescent="0.25">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t="s">
        <v>83</v>
      </c>
      <c r="T1888" t="s">
        <v>161</v>
      </c>
    </row>
    <row r="1889" spans="1:20" x14ac:dyDescent="0.25">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t="s">
        <v>129</v>
      </c>
      <c r="T1889" t="s">
        <v>113</v>
      </c>
    </row>
    <row r="1890" spans="1:20" x14ac:dyDescent="0.25">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t="s">
        <v>83</v>
      </c>
      <c r="T1890" t="s">
        <v>48</v>
      </c>
    </row>
    <row r="1891" spans="1:20" x14ac:dyDescent="0.25">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t="s">
        <v>83</v>
      </c>
      <c r="T1891" t="s">
        <v>169</v>
      </c>
    </row>
    <row r="1892" spans="1:20" x14ac:dyDescent="0.25">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t="s">
        <v>83</v>
      </c>
      <c r="T1892" t="s">
        <v>113</v>
      </c>
    </row>
    <row r="1893" spans="1:20" x14ac:dyDescent="0.25">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t="s">
        <v>83</v>
      </c>
      <c r="T1893" t="s">
        <v>113</v>
      </c>
    </row>
    <row r="1894" spans="1:20" x14ac:dyDescent="0.25">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t="s">
        <v>129</v>
      </c>
      <c r="T1894" t="s">
        <v>96</v>
      </c>
    </row>
    <row r="1895" spans="1:20" x14ac:dyDescent="0.25">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t="s">
        <v>58</v>
      </c>
      <c r="T1895" t="s">
        <v>195</v>
      </c>
    </row>
    <row r="1896" spans="1:20" x14ac:dyDescent="0.25">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t="s">
        <v>129</v>
      </c>
      <c r="T1896" t="s">
        <v>48</v>
      </c>
    </row>
    <row r="1897" spans="1:20" x14ac:dyDescent="0.25">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t="s">
        <v>129</v>
      </c>
      <c r="T1897" t="s">
        <v>96</v>
      </c>
    </row>
    <row r="1898" spans="1:20" x14ac:dyDescent="0.25">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t="s">
        <v>70</v>
      </c>
      <c r="T1898" t="s">
        <v>253</v>
      </c>
    </row>
    <row r="1899" spans="1:20" x14ac:dyDescent="0.25">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t="s">
        <v>33</v>
      </c>
      <c r="T1899" t="s">
        <v>96</v>
      </c>
    </row>
    <row r="1900" spans="1:20" x14ac:dyDescent="0.25">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t="s">
        <v>58</v>
      </c>
      <c r="T1900" t="s">
        <v>34</v>
      </c>
    </row>
    <row r="1901" spans="1:20" x14ac:dyDescent="0.25">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t="s">
        <v>70</v>
      </c>
      <c r="T1901" t="s">
        <v>34</v>
      </c>
    </row>
    <row r="1902" spans="1:20" x14ac:dyDescent="0.25">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t="s">
        <v>70</v>
      </c>
      <c r="T1902" t="s">
        <v>34</v>
      </c>
    </row>
    <row r="1903" spans="1:20" x14ac:dyDescent="0.25">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t="s">
        <v>83</v>
      </c>
      <c r="T1903" t="s">
        <v>34</v>
      </c>
    </row>
    <row r="1904" spans="1:20" x14ac:dyDescent="0.25">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t="s">
        <v>83</v>
      </c>
      <c r="T1904" t="s">
        <v>195</v>
      </c>
    </row>
    <row r="1905" spans="1:20" x14ac:dyDescent="0.25">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t="s">
        <v>70</v>
      </c>
      <c r="T1905" t="s">
        <v>113</v>
      </c>
    </row>
    <row r="1906" spans="1:20" x14ac:dyDescent="0.25">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t="s">
        <v>33</v>
      </c>
      <c r="T1906" t="s">
        <v>34</v>
      </c>
    </row>
    <row r="1907" spans="1:20" x14ac:dyDescent="0.25">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t="s">
        <v>129</v>
      </c>
      <c r="T1907" t="s">
        <v>195</v>
      </c>
    </row>
    <row r="1908" spans="1:20" x14ac:dyDescent="0.25">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t="s">
        <v>129</v>
      </c>
      <c r="T1908" t="s">
        <v>195</v>
      </c>
    </row>
    <row r="1909" spans="1:20" x14ac:dyDescent="0.25">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t="s">
        <v>83</v>
      </c>
      <c r="T1909" t="s">
        <v>96</v>
      </c>
    </row>
    <row r="1910" spans="1:20" x14ac:dyDescent="0.25">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t="s">
        <v>129</v>
      </c>
      <c r="T1910" t="s">
        <v>96</v>
      </c>
    </row>
    <row r="1911" spans="1:20" x14ac:dyDescent="0.25">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t="s">
        <v>58</v>
      </c>
      <c r="T1911" t="s">
        <v>48</v>
      </c>
    </row>
    <row r="1912" spans="1:20" x14ac:dyDescent="0.25">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t="s">
        <v>83</v>
      </c>
      <c r="T1912" t="s">
        <v>161</v>
      </c>
    </row>
    <row r="1913" spans="1:20" x14ac:dyDescent="0.25">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t="s">
        <v>430</v>
      </c>
      <c r="T1913" t="s">
        <v>34</v>
      </c>
    </row>
    <row r="1914" spans="1:20" x14ac:dyDescent="0.25">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t="s">
        <v>123</v>
      </c>
      <c r="T1914" t="s">
        <v>297</v>
      </c>
    </row>
    <row r="1915" spans="1:20" x14ac:dyDescent="0.25">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t="s">
        <v>70</v>
      </c>
      <c r="T1915" t="s">
        <v>96</v>
      </c>
    </row>
    <row r="1916" spans="1:20" x14ac:dyDescent="0.25">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t="s">
        <v>123</v>
      </c>
      <c r="T1916" t="s">
        <v>253</v>
      </c>
    </row>
    <row r="1917" spans="1:20" x14ac:dyDescent="0.25">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t="s">
        <v>33</v>
      </c>
      <c r="T1917" t="s">
        <v>59</v>
      </c>
    </row>
    <row r="1918" spans="1:20" x14ac:dyDescent="0.25">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t="s">
        <v>129</v>
      </c>
      <c r="T1918" t="s">
        <v>59</v>
      </c>
    </row>
    <row r="1919" spans="1:20" x14ac:dyDescent="0.25">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t="s">
        <v>58</v>
      </c>
      <c r="T1919" t="s">
        <v>77</v>
      </c>
    </row>
    <row r="1920" spans="1:20" x14ac:dyDescent="0.25">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t="s">
        <v>58</v>
      </c>
      <c r="T1920" t="s">
        <v>77</v>
      </c>
    </row>
    <row r="1921" spans="1:20" x14ac:dyDescent="0.25">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t="s">
        <v>430</v>
      </c>
      <c r="T1921" t="s">
        <v>77</v>
      </c>
    </row>
    <row r="1922" spans="1:20" x14ac:dyDescent="0.25">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t="s">
        <v>83</v>
      </c>
      <c r="T1922" t="s">
        <v>59</v>
      </c>
    </row>
    <row r="1923" spans="1:20" x14ac:dyDescent="0.25">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t="s">
        <v>58</v>
      </c>
      <c r="T1923" t="s">
        <v>77</v>
      </c>
    </row>
    <row r="1924" spans="1:20" x14ac:dyDescent="0.25">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t="s">
        <v>58</v>
      </c>
      <c r="T1924" t="s">
        <v>77</v>
      </c>
    </row>
    <row r="1925" spans="1:20" x14ac:dyDescent="0.25">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t="s">
        <v>70</v>
      </c>
      <c r="T1925" t="s">
        <v>34</v>
      </c>
    </row>
    <row r="1926" spans="1:20" x14ac:dyDescent="0.25">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t="s">
        <v>83</v>
      </c>
      <c r="T1926" t="s">
        <v>48</v>
      </c>
    </row>
    <row r="1927" spans="1:20" x14ac:dyDescent="0.25">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t="s">
        <v>83</v>
      </c>
      <c r="T1927" t="s">
        <v>48</v>
      </c>
    </row>
    <row r="1928" spans="1:20" x14ac:dyDescent="0.25">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t="s">
        <v>83</v>
      </c>
      <c r="T1928" t="s">
        <v>59</v>
      </c>
    </row>
    <row r="1929" spans="1:20" x14ac:dyDescent="0.25">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t="s">
        <v>33</v>
      </c>
      <c r="T1929" t="s">
        <v>77</v>
      </c>
    </row>
    <row r="1930" spans="1:20" x14ac:dyDescent="0.25">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t="s">
        <v>123</v>
      </c>
      <c r="T1930" t="s">
        <v>96</v>
      </c>
    </row>
    <row r="1931" spans="1:20" x14ac:dyDescent="0.25">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t="s">
        <v>47</v>
      </c>
      <c r="T1931" t="s">
        <v>297</v>
      </c>
    </row>
    <row r="1932" spans="1:20" x14ac:dyDescent="0.25">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t="s">
        <v>83</v>
      </c>
      <c r="T1932" t="s">
        <v>77</v>
      </c>
    </row>
    <row r="1933" spans="1:20" x14ac:dyDescent="0.25">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t="s">
        <v>58</v>
      </c>
      <c r="T1933" t="s">
        <v>59</v>
      </c>
    </row>
    <row r="1934" spans="1:20" x14ac:dyDescent="0.25">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t="s">
        <v>58</v>
      </c>
      <c r="T1934" t="s">
        <v>34</v>
      </c>
    </row>
    <row r="1935" spans="1:20" x14ac:dyDescent="0.25">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t="s">
        <v>58</v>
      </c>
      <c r="T1935" t="s">
        <v>169</v>
      </c>
    </row>
    <row r="1936" spans="1:20" x14ac:dyDescent="0.25">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t="s">
        <v>58</v>
      </c>
      <c r="T1936" t="s">
        <v>169</v>
      </c>
    </row>
    <row r="1937" spans="1:20" x14ac:dyDescent="0.25">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t="s">
        <v>70</v>
      </c>
      <c r="T1937" t="s">
        <v>253</v>
      </c>
    </row>
    <row r="1938" spans="1:20" x14ac:dyDescent="0.25">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t="s">
        <v>70</v>
      </c>
      <c r="T1938" t="s">
        <v>253</v>
      </c>
    </row>
    <row r="1939" spans="1:20" x14ac:dyDescent="0.25">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t="s">
        <v>70</v>
      </c>
      <c r="T1939" t="s">
        <v>195</v>
      </c>
    </row>
    <row r="1940" spans="1:20" x14ac:dyDescent="0.25">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t="s">
        <v>83</v>
      </c>
      <c r="T1940" t="s">
        <v>161</v>
      </c>
    </row>
    <row r="1941" spans="1:20" x14ac:dyDescent="0.25">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t="s">
        <v>70</v>
      </c>
      <c r="T1941" t="s">
        <v>253</v>
      </c>
    </row>
    <row r="1942" spans="1:20" x14ac:dyDescent="0.25">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t="s">
        <v>83</v>
      </c>
      <c r="T1942" t="s">
        <v>96</v>
      </c>
    </row>
    <row r="1943" spans="1:20" x14ac:dyDescent="0.25">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t="s">
        <v>83</v>
      </c>
      <c r="T1943" t="s">
        <v>96</v>
      </c>
    </row>
    <row r="1944" spans="1:20" x14ac:dyDescent="0.25">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t="s">
        <v>430</v>
      </c>
      <c r="T1944" t="s">
        <v>96</v>
      </c>
    </row>
    <row r="1945" spans="1:20" x14ac:dyDescent="0.25">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t="s">
        <v>83</v>
      </c>
      <c r="T1945" t="s">
        <v>253</v>
      </c>
    </row>
    <row r="1946" spans="1:20" x14ac:dyDescent="0.25">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t="s">
        <v>83</v>
      </c>
      <c r="T1946" t="s">
        <v>253</v>
      </c>
    </row>
    <row r="1947" spans="1:20" x14ac:dyDescent="0.25">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t="s">
        <v>58</v>
      </c>
      <c r="T1947" t="s">
        <v>161</v>
      </c>
    </row>
    <row r="1948" spans="1:20" x14ac:dyDescent="0.25">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t="s">
        <v>33</v>
      </c>
      <c r="T1948" t="s">
        <v>48</v>
      </c>
    </row>
    <row r="1949" spans="1:20" x14ac:dyDescent="0.25">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t="s">
        <v>47</v>
      </c>
      <c r="T1949" t="s">
        <v>96</v>
      </c>
    </row>
    <row r="1950" spans="1:20" x14ac:dyDescent="0.25">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t="s">
        <v>47</v>
      </c>
      <c r="T1950" t="s">
        <v>96</v>
      </c>
    </row>
    <row r="1951" spans="1:20" x14ac:dyDescent="0.25">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t="s">
        <v>83</v>
      </c>
      <c r="T1951" t="s">
        <v>253</v>
      </c>
    </row>
    <row r="1952" spans="1:20" x14ac:dyDescent="0.25">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t="s">
        <v>123</v>
      </c>
      <c r="T1952" t="s">
        <v>48</v>
      </c>
    </row>
    <row r="1953" spans="1:20" x14ac:dyDescent="0.25">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t="s">
        <v>83</v>
      </c>
      <c r="T1953" t="s">
        <v>77</v>
      </c>
    </row>
    <row r="1954" spans="1:20" x14ac:dyDescent="0.25">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t="s">
        <v>83</v>
      </c>
      <c r="T1954" t="s">
        <v>77</v>
      </c>
    </row>
    <row r="1955" spans="1:20" x14ac:dyDescent="0.25">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t="s">
        <v>33</v>
      </c>
      <c r="T1955" t="s">
        <v>297</v>
      </c>
    </row>
    <row r="1956" spans="1:20" x14ac:dyDescent="0.25">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t="s">
        <v>58</v>
      </c>
      <c r="T1956" t="s">
        <v>71</v>
      </c>
    </row>
    <row r="1957" spans="1:20" x14ac:dyDescent="0.25">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t="s">
        <v>83</v>
      </c>
      <c r="T1957" t="s">
        <v>297</v>
      </c>
    </row>
    <row r="1958" spans="1:20" x14ac:dyDescent="0.25">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t="s">
        <v>83</v>
      </c>
      <c r="T1958" t="s">
        <v>297</v>
      </c>
    </row>
    <row r="1959" spans="1:20" x14ac:dyDescent="0.25">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t="s">
        <v>430</v>
      </c>
      <c r="T1959" t="s">
        <v>77</v>
      </c>
    </row>
    <row r="1960" spans="1:20" x14ac:dyDescent="0.25">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t="s">
        <v>83</v>
      </c>
      <c r="T1960" t="s">
        <v>48</v>
      </c>
    </row>
    <row r="1961" spans="1:20" x14ac:dyDescent="0.25">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t="s">
        <v>123</v>
      </c>
      <c r="T1961" t="s">
        <v>297</v>
      </c>
    </row>
    <row r="1962" spans="1:20" x14ac:dyDescent="0.25">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t="s">
        <v>430</v>
      </c>
      <c r="T1962" t="s">
        <v>77</v>
      </c>
    </row>
    <row r="1963" spans="1:20" x14ac:dyDescent="0.25">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t="s">
        <v>58</v>
      </c>
      <c r="T1963" t="s">
        <v>161</v>
      </c>
    </row>
    <row r="1964" spans="1:20" x14ac:dyDescent="0.25">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t="s">
        <v>83</v>
      </c>
      <c r="T1964" t="s">
        <v>96</v>
      </c>
    </row>
    <row r="1965" spans="1:20" x14ac:dyDescent="0.25">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t="s">
        <v>83</v>
      </c>
      <c r="T1965" t="s">
        <v>77</v>
      </c>
    </row>
    <row r="1966" spans="1:20" x14ac:dyDescent="0.25">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t="s">
        <v>58</v>
      </c>
      <c r="T1966" t="s">
        <v>34</v>
      </c>
    </row>
    <row r="1967" spans="1:20" x14ac:dyDescent="0.25">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t="s">
        <v>33</v>
      </c>
      <c r="T1967" t="s">
        <v>34</v>
      </c>
    </row>
    <row r="1968" spans="1:20" x14ac:dyDescent="0.25">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t="s">
        <v>47</v>
      </c>
      <c r="T1968" t="s">
        <v>59</v>
      </c>
    </row>
    <row r="1969" spans="1:20" x14ac:dyDescent="0.25">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t="s">
        <v>33</v>
      </c>
      <c r="T1969" t="s">
        <v>34</v>
      </c>
    </row>
    <row r="1970" spans="1:20" x14ac:dyDescent="0.25">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t="s">
        <v>83</v>
      </c>
      <c r="T1970" t="s">
        <v>161</v>
      </c>
    </row>
    <row r="1971" spans="1:20" x14ac:dyDescent="0.25">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t="s">
        <v>83</v>
      </c>
      <c r="T1971" t="s">
        <v>113</v>
      </c>
    </row>
    <row r="1972" spans="1:20" x14ac:dyDescent="0.25">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t="s">
        <v>58</v>
      </c>
      <c r="T1972" t="s">
        <v>71</v>
      </c>
    </row>
    <row r="1973" spans="1:20" x14ac:dyDescent="0.25">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t="s">
        <v>58</v>
      </c>
      <c r="T1973" t="s">
        <v>71</v>
      </c>
    </row>
    <row r="1974" spans="1:20" x14ac:dyDescent="0.25">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t="s">
        <v>83</v>
      </c>
      <c r="T1974" t="s">
        <v>34</v>
      </c>
    </row>
    <row r="1975" spans="1:20" x14ac:dyDescent="0.25">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t="s">
        <v>83</v>
      </c>
      <c r="T1975" t="s">
        <v>34</v>
      </c>
    </row>
    <row r="1976" spans="1:20" x14ac:dyDescent="0.25">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t="s">
        <v>129</v>
      </c>
      <c r="T1976" t="s">
        <v>77</v>
      </c>
    </row>
    <row r="1977" spans="1:20" x14ac:dyDescent="0.25">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t="s">
        <v>33</v>
      </c>
      <c r="T1977" t="s">
        <v>77</v>
      </c>
    </row>
    <row r="1978" spans="1:20" x14ac:dyDescent="0.25">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t="s">
        <v>123</v>
      </c>
      <c r="T1978" t="s">
        <v>161</v>
      </c>
    </row>
    <row r="1979" spans="1:20" x14ac:dyDescent="0.25">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t="s">
        <v>33</v>
      </c>
      <c r="T1979" t="s">
        <v>297</v>
      </c>
    </row>
    <row r="1980" spans="1:20" x14ac:dyDescent="0.25">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t="s">
        <v>33</v>
      </c>
      <c r="T1980" t="s">
        <v>297</v>
      </c>
    </row>
    <row r="1981" spans="1:20" x14ac:dyDescent="0.25">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t="s">
        <v>33</v>
      </c>
      <c r="T1981" t="s">
        <v>297</v>
      </c>
    </row>
    <row r="1982" spans="1:20" x14ac:dyDescent="0.25">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t="s">
        <v>129</v>
      </c>
      <c r="T1982" t="s">
        <v>96</v>
      </c>
    </row>
    <row r="1983" spans="1:20" x14ac:dyDescent="0.25">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t="s">
        <v>129</v>
      </c>
      <c r="T1983" t="s">
        <v>96</v>
      </c>
    </row>
    <row r="1984" spans="1:20" x14ac:dyDescent="0.25">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t="s">
        <v>83</v>
      </c>
      <c r="T1984" t="s">
        <v>77</v>
      </c>
    </row>
    <row r="1985" spans="1:20" x14ac:dyDescent="0.25">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t="s">
        <v>70</v>
      </c>
      <c r="T1985" t="s">
        <v>77</v>
      </c>
    </row>
    <row r="1986" spans="1:20" x14ac:dyDescent="0.25">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t="s">
        <v>33</v>
      </c>
      <c r="T1986" t="s">
        <v>169</v>
      </c>
    </row>
    <row r="1987" spans="1:20" x14ac:dyDescent="0.25">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t="s">
        <v>33</v>
      </c>
      <c r="T1987" t="s">
        <v>169</v>
      </c>
    </row>
    <row r="1988" spans="1:20" x14ac:dyDescent="0.25">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t="s">
        <v>83</v>
      </c>
      <c r="T1988" t="s">
        <v>195</v>
      </c>
    </row>
    <row r="1989" spans="1:20" x14ac:dyDescent="0.25">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t="s">
        <v>70</v>
      </c>
      <c r="T1989" t="s">
        <v>34</v>
      </c>
    </row>
    <row r="1990" spans="1:20" x14ac:dyDescent="0.25">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t="s">
        <v>70</v>
      </c>
      <c r="T1990" t="s">
        <v>161</v>
      </c>
    </row>
    <row r="1991" spans="1:20" x14ac:dyDescent="0.25">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t="s">
        <v>70</v>
      </c>
      <c r="T1991" t="s">
        <v>161</v>
      </c>
    </row>
    <row r="1992" spans="1:20" x14ac:dyDescent="0.25">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t="s">
        <v>83</v>
      </c>
      <c r="T1992" t="s">
        <v>96</v>
      </c>
    </row>
    <row r="1993" spans="1:20" x14ac:dyDescent="0.25">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t="s">
        <v>83</v>
      </c>
      <c r="T1993" t="s">
        <v>253</v>
      </c>
    </row>
    <row r="1994" spans="1:20" x14ac:dyDescent="0.25">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t="s">
        <v>430</v>
      </c>
      <c r="T1994" t="s">
        <v>48</v>
      </c>
    </row>
    <row r="1995" spans="1:20" x14ac:dyDescent="0.25">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t="s">
        <v>33</v>
      </c>
      <c r="T1995" t="s">
        <v>77</v>
      </c>
    </row>
    <row r="1996" spans="1:20" x14ac:dyDescent="0.25">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t="s">
        <v>33</v>
      </c>
      <c r="T1996" t="s">
        <v>77</v>
      </c>
    </row>
    <row r="1997" spans="1:20" x14ac:dyDescent="0.25">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t="s">
        <v>83</v>
      </c>
      <c r="T1997" t="s">
        <v>59</v>
      </c>
    </row>
    <row r="1998" spans="1:20" x14ac:dyDescent="0.25">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t="s">
        <v>58</v>
      </c>
      <c r="T1998" t="s">
        <v>253</v>
      </c>
    </row>
    <row r="1999" spans="1:20" x14ac:dyDescent="0.25">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t="s">
        <v>70</v>
      </c>
      <c r="T1999" t="s">
        <v>77</v>
      </c>
    </row>
    <row r="2000" spans="1:20" x14ac:dyDescent="0.25">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t="s">
        <v>33</v>
      </c>
      <c r="T2000" t="s">
        <v>96</v>
      </c>
    </row>
    <row r="2001" spans="1:20" x14ac:dyDescent="0.25">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t="s">
        <v>70</v>
      </c>
      <c r="T2001" t="s">
        <v>169</v>
      </c>
    </row>
    <row r="2002" spans="1:20" x14ac:dyDescent="0.25">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t="s">
        <v>83</v>
      </c>
      <c r="T2002" t="s">
        <v>48</v>
      </c>
    </row>
    <row r="2003" spans="1:20" x14ac:dyDescent="0.25">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t="s">
        <v>58</v>
      </c>
      <c r="T2003" t="s">
        <v>77</v>
      </c>
    </row>
    <row r="2004" spans="1:20" x14ac:dyDescent="0.25">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t="s">
        <v>83</v>
      </c>
      <c r="T2004" t="s">
        <v>34</v>
      </c>
    </row>
    <row r="2005" spans="1:20" x14ac:dyDescent="0.25">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t="s">
        <v>58</v>
      </c>
      <c r="T2005" t="s">
        <v>161</v>
      </c>
    </row>
    <row r="2006" spans="1:20" x14ac:dyDescent="0.25">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t="s">
        <v>83</v>
      </c>
      <c r="T2006" t="s">
        <v>253</v>
      </c>
    </row>
    <row r="2007" spans="1:20" x14ac:dyDescent="0.25">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t="s">
        <v>47</v>
      </c>
      <c r="T2007" t="s">
        <v>161</v>
      </c>
    </row>
    <row r="2008" spans="1:20" x14ac:dyDescent="0.25">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t="s">
        <v>58</v>
      </c>
      <c r="T2008" t="s">
        <v>34</v>
      </c>
    </row>
    <row r="2009" spans="1:20" x14ac:dyDescent="0.25">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t="s">
        <v>83</v>
      </c>
      <c r="T2009" t="s">
        <v>34</v>
      </c>
    </row>
    <row r="2010" spans="1:20" x14ac:dyDescent="0.25">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t="s">
        <v>58</v>
      </c>
      <c r="T2010" t="s">
        <v>34</v>
      </c>
    </row>
    <row r="2011" spans="1:20" x14ac:dyDescent="0.25">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t="s">
        <v>58</v>
      </c>
      <c r="T2011" t="s">
        <v>34</v>
      </c>
    </row>
    <row r="2012" spans="1:20" x14ac:dyDescent="0.25">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t="s">
        <v>58</v>
      </c>
      <c r="T2012" t="s">
        <v>34</v>
      </c>
    </row>
    <row r="2013" spans="1:20" x14ac:dyDescent="0.25">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t="s">
        <v>58</v>
      </c>
      <c r="T2013" t="s">
        <v>161</v>
      </c>
    </row>
    <row r="2014" spans="1:20" x14ac:dyDescent="0.25">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t="s">
        <v>70</v>
      </c>
      <c r="T2014" t="s">
        <v>96</v>
      </c>
    </row>
    <row r="2015" spans="1:20" x14ac:dyDescent="0.25">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t="s">
        <v>430</v>
      </c>
      <c r="T2015" t="s">
        <v>48</v>
      </c>
    </row>
    <row r="2016" spans="1:20" x14ac:dyDescent="0.25">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t="s">
        <v>58</v>
      </c>
      <c r="T2016" t="s">
        <v>169</v>
      </c>
    </row>
    <row r="2017" spans="1:20" x14ac:dyDescent="0.25">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t="s">
        <v>83</v>
      </c>
      <c r="T2017" t="s">
        <v>161</v>
      </c>
    </row>
    <row r="2018" spans="1:20" x14ac:dyDescent="0.25">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t="s">
        <v>83</v>
      </c>
      <c r="T2018" t="s">
        <v>34</v>
      </c>
    </row>
    <row r="2019" spans="1:20" x14ac:dyDescent="0.25">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t="s">
        <v>83</v>
      </c>
      <c r="T2019" t="s">
        <v>161</v>
      </c>
    </row>
    <row r="2020" spans="1:20" x14ac:dyDescent="0.25">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t="s">
        <v>123</v>
      </c>
      <c r="T2020" t="s">
        <v>96</v>
      </c>
    </row>
    <row r="2021" spans="1:20" x14ac:dyDescent="0.25">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t="s">
        <v>83</v>
      </c>
      <c r="T2021" t="s">
        <v>48</v>
      </c>
    </row>
    <row r="2022" spans="1:20" x14ac:dyDescent="0.25">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t="s">
        <v>70</v>
      </c>
      <c r="T2022" t="s">
        <v>59</v>
      </c>
    </row>
    <row r="2023" spans="1:20" x14ac:dyDescent="0.25">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t="s">
        <v>70</v>
      </c>
      <c r="T2023" t="s">
        <v>77</v>
      </c>
    </row>
    <row r="2024" spans="1:20" x14ac:dyDescent="0.25">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t="s">
        <v>58</v>
      </c>
      <c r="T2024" t="s">
        <v>161</v>
      </c>
    </row>
    <row r="2025" spans="1:20" x14ac:dyDescent="0.25">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t="s">
        <v>83</v>
      </c>
      <c r="T2025" t="s">
        <v>253</v>
      </c>
    </row>
    <row r="2026" spans="1:20" x14ac:dyDescent="0.25">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t="s">
        <v>58</v>
      </c>
      <c r="T2026" t="s">
        <v>77</v>
      </c>
    </row>
    <row r="2027" spans="1:20" x14ac:dyDescent="0.25">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t="s">
        <v>83</v>
      </c>
      <c r="T2027" t="s">
        <v>34</v>
      </c>
    </row>
    <row r="2028" spans="1:20" x14ac:dyDescent="0.25">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t="s">
        <v>70</v>
      </c>
      <c r="T2028" t="s">
        <v>48</v>
      </c>
    </row>
    <row r="2029" spans="1:20" x14ac:dyDescent="0.25">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t="s">
        <v>70</v>
      </c>
      <c r="T2029" t="s">
        <v>161</v>
      </c>
    </row>
    <row r="2030" spans="1:20" x14ac:dyDescent="0.25">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t="s">
        <v>430</v>
      </c>
      <c r="T2030" t="s">
        <v>195</v>
      </c>
    </row>
    <row r="2031" spans="1:20" x14ac:dyDescent="0.25">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t="s">
        <v>430</v>
      </c>
      <c r="T2031" t="s">
        <v>253</v>
      </c>
    </row>
    <row r="2032" spans="1:20" x14ac:dyDescent="0.25">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t="s">
        <v>70</v>
      </c>
      <c r="T2032" t="s">
        <v>161</v>
      </c>
    </row>
    <row r="2033" spans="1:20" x14ac:dyDescent="0.25">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t="s">
        <v>70</v>
      </c>
      <c r="T2033" t="s">
        <v>161</v>
      </c>
    </row>
    <row r="2034" spans="1:20" x14ac:dyDescent="0.25">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t="s">
        <v>70</v>
      </c>
      <c r="T2034" t="s">
        <v>77</v>
      </c>
    </row>
    <row r="2035" spans="1:20" x14ac:dyDescent="0.25">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t="s">
        <v>70</v>
      </c>
      <c r="T2035" t="s">
        <v>59</v>
      </c>
    </row>
    <row r="2036" spans="1:20" x14ac:dyDescent="0.25">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t="s">
        <v>83</v>
      </c>
      <c r="T2036" t="s">
        <v>71</v>
      </c>
    </row>
    <row r="2037" spans="1:20" x14ac:dyDescent="0.25">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t="s">
        <v>83</v>
      </c>
      <c r="T2037" t="s">
        <v>71</v>
      </c>
    </row>
    <row r="2038" spans="1:20" x14ac:dyDescent="0.25">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t="s">
        <v>83</v>
      </c>
      <c r="T2038" t="s">
        <v>77</v>
      </c>
    </row>
    <row r="2039" spans="1:20" x14ac:dyDescent="0.25">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t="s">
        <v>129</v>
      </c>
      <c r="T2039" t="s">
        <v>59</v>
      </c>
    </row>
    <row r="2040" spans="1:20" x14ac:dyDescent="0.25">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t="s">
        <v>33</v>
      </c>
      <c r="T2040" t="s">
        <v>161</v>
      </c>
    </row>
    <row r="2041" spans="1:20" x14ac:dyDescent="0.25">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t="s">
        <v>123</v>
      </c>
      <c r="T2041" t="s">
        <v>59</v>
      </c>
    </row>
    <row r="2042" spans="1:20" x14ac:dyDescent="0.25">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t="s">
        <v>123</v>
      </c>
      <c r="T2042" t="s">
        <v>59</v>
      </c>
    </row>
    <row r="2043" spans="1:20" x14ac:dyDescent="0.25">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t="s">
        <v>33</v>
      </c>
      <c r="T2043" t="s">
        <v>48</v>
      </c>
    </row>
    <row r="2044" spans="1:20" x14ac:dyDescent="0.25">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t="s">
        <v>47</v>
      </c>
      <c r="T2044" t="s">
        <v>34</v>
      </c>
    </row>
    <row r="2045" spans="1:20" x14ac:dyDescent="0.25">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t="s">
        <v>47</v>
      </c>
      <c r="T2045" t="s">
        <v>34</v>
      </c>
    </row>
    <row r="2046" spans="1:20" x14ac:dyDescent="0.25">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t="s">
        <v>33</v>
      </c>
      <c r="T2046" t="s">
        <v>169</v>
      </c>
    </row>
    <row r="2047" spans="1:20" x14ac:dyDescent="0.25">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t="s">
        <v>58</v>
      </c>
      <c r="T2047" t="s">
        <v>195</v>
      </c>
    </row>
    <row r="2048" spans="1:20" x14ac:dyDescent="0.25">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t="s">
        <v>58</v>
      </c>
      <c r="T2048" t="s">
        <v>195</v>
      </c>
    </row>
    <row r="2049" spans="1:20" x14ac:dyDescent="0.25">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t="s">
        <v>83</v>
      </c>
      <c r="T2049" t="s">
        <v>34</v>
      </c>
    </row>
    <row r="2050" spans="1:20" x14ac:dyDescent="0.25">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t="s">
        <v>83</v>
      </c>
      <c r="T2050" t="s">
        <v>34</v>
      </c>
    </row>
    <row r="2051" spans="1:20" x14ac:dyDescent="0.25">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t="s">
        <v>47</v>
      </c>
      <c r="T2051" t="s">
        <v>77</v>
      </c>
    </row>
    <row r="2052" spans="1:20" x14ac:dyDescent="0.25">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t="s">
        <v>47</v>
      </c>
      <c r="T2052" t="s">
        <v>77</v>
      </c>
    </row>
    <row r="2053" spans="1:20" x14ac:dyDescent="0.25">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t="s">
        <v>83</v>
      </c>
      <c r="T2053" t="s">
        <v>34</v>
      </c>
    </row>
    <row r="2054" spans="1:20" x14ac:dyDescent="0.25">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t="s">
        <v>83</v>
      </c>
      <c r="T2054" t="s">
        <v>34</v>
      </c>
    </row>
    <row r="2055" spans="1:20" x14ac:dyDescent="0.25">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t="s">
        <v>83</v>
      </c>
      <c r="T2055" t="s">
        <v>161</v>
      </c>
    </row>
    <row r="2056" spans="1:20" x14ac:dyDescent="0.25">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t="s">
        <v>58</v>
      </c>
      <c r="T2056" t="s">
        <v>96</v>
      </c>
    </row>
    <row r="2057" spans="1:20" x14ac:dyDescent="0.25">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t="s">
        <v>83</v>
      </c>
      <c r="T2057" t="s">
        <v>34</v>
      </c>
    </row>
    <row r="2058" spans="1:20" x14ac:dyDescent="0.25">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t="s">
        <v>430</v>
      </c>
      <c r="T2058" t="s">
        <v>195</v>
      </c>
    </row>
    <row r="2059" spans="1:20" x14ac:dyDescent="0.25">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t="s">
        <v>129</v>
      </c>
      <c r="T2059" t="s">
        <v>48</v>
      </c>
    </row>
    <row r="2060" spans="1:20" x14ac:dyDescent="0.25">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t="s">
        <v>129</v>
      </c>
      <c r="T2060" t="s">
        <v>48</v>
      </c>
    </row>
    <row r="2061" spans="1:20" x14ac:dyDescent="0.25">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t="s">
        <v>58</v>
      </c>
      <c r="T2061" t="s">
        <v>34</v>
      </c>
    </row>
    <row r="2062" spans="1:20" x14ac:dyDescent="0.25">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t="s">
        <v>83</v>
      </c>
      <c r="T2062" t="s">
        <v>77</v>
      </c>
    </row>
    <row r="2063" spans="1:20" x14ac:dyDescent="0.25">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t="s">
        <v>83</v>
      </c>
      <c r="T2063" t="s">
        <v>297</v>
      </c>
    </row>
    <row r="2064" spans="1:20" x14ac:dyDescent="0.25">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t="s">
        <v>58</v>
      </c>
      <c r="T2064" t="s">
        <v>253</v>
      </c>
    </row>
    <row r="2065" spans="1:20" x14ac:dyDescent="0.25">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t="s">
        <v>83</v>
      </c>
      <c r="T2065" t="s">
        <v>34</v>
      </c>
    </row>
    <row r="2066" spans="1:20" x14ac:dyDescent="0.25">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t="s">
        <v>430</v>
      </c>
      <c r="T2066" t="s">
        <v>34</v>
      </c>
    </row>
    <row r="2067" spans="1:20" x14ac:dyDescent="0.25">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t="s">
        <v>430</v>
      </c>
      <c r="T2067" t="s">
        <v>34</v>
      </c>
    </row>
    <row r="2068" spans="1:20" x14ac:dyDescent="0.25">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t="s">
        <v>83</v>
      </c>
      <c r="T2068" t="s">
        <v>34</v>
      </c>
    </row>
    <row r="2069" spans="1:20" x14ac:dyDescent="0.25">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t="s">
        <v>83</v>
      </c>
      <c r="T2069" t="s">
        <v>34</v>
      </c>
    </row>
    <row r="2070" spans="1:20" x14ac:dyDescent="0.25">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t="s">
        <v>70</v>
      </c>
      <c r="T2070" t="s">
        <v>195</v>
      </c>
    </row>
    <row r="2071" spans="1:20" x14ac:dyDescent="0.25">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t="s">
        <v>58</v>
      </c>
      <c r="T2071" t="s">
        <v>48</v>
      </c>
    </row>
    <row r="2072" spans="1:20" x14ac:dyDescent="0.25">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t="s">
        <v>129</v>
      </c>
      <c r="T2072" t="s">
        <v>34</v>
      </c>
    </row>
    <row r="2073" spans="1:20" x14ac:dyDescent="0.25">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t="s">
        <v>83</v>
      </c>
      <c r="T2073" t="s">
        <v>71</v>
      </c>
    </row>
    <row r="2074" spans="1:20" x14ac:dyDescent="0.25">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t="s">
        <v>70</v>
      </c>
      <c r="T2074" t="s">
        <v>161</v>
      </c>
    </row>
    <row r="2075" spans="1:20" x14ac:dyDescent="0.25">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t="s">
        <v>430</v>
      </c>
      <c r="T2075" t="s">
        <v>34</v>
      </c>
    </row>
    <row r="2076" spans="1:20" x14ac:dyDescent="0.25">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t="s">
        <v>58</v>
      </c>
      <c r="T2076" t="s">
        <v>195</v>
      </c>
    </row>
    <row r="2077" spans="1:20" x14ac:dyDescent="0.25">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t="s">
        <v>58</v>
      </c>
      <c r="T2077" t="s">
        <v>195</v>
      </c>
    </row>
    <row r="2078" spans="1:20" x14ac:dyDescent="0.25">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t="s">
        <v>58</v>
      </c>
      <c r="T2078" t="s">
        <v>195</v>
      </c>
    </row>
    <row r="2079" spans="1:20" x14ac:dyDescent="0.25">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t="s">
        <v>70</v>
      </c>
      <c r="T2079" t="s">
        <v>161</v>
      </c>
    </row>
    <row r="2080" spans="1:20" x14ac:dyDescent="0.25">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t="s">
        <v>70</v>
      </c>
      <c r="T2080" t="s">
        <v>71</v>
      </c>
    </row>
    <row r="2081" spans="1:20" x14ac:dyDescent="0.25">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t="s">
        <v>58</v>
      </c>
      <c r="T2081" t="s">
        <v>48</v>
      </c>
    </row>
    <row r="2082" spans="1:20" x14ac:dyDescent="0.25">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t="s">
        <v>58</v>
      </c>
      <c r="T2082" t="s">
        <v>71</v>
      </c>
    </row>
    <row r="2083" spans="1:20" x14ac:dyDescent="0.25">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t="s">
        <v>83</v>
      </c>
      <c r="T2083" t="s">
        <v>59</v>
      </c>
    </row>
    <row r="2084" spans="1:20" x14ac:dyDescent="0.25">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t="s">
        <v>83</v>
      </c>
      <c r="T2084" t="s">
        <v>253</v>
      </c>
    </row>
    <row r="2085" spans="1:20" x14ac:dyDescent="0.25">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t="s">
        <v>47</v>
      </c>
      <c r="T2085" t="s">
        <v>71</v>
      </c>
    </row>
    <row r="2086" spans="1:20" x14ac:dyDescent="0.25">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t="s">
        <v>70</v>
      </c>
      <c r="T2086" t="s">
        <v>96</v>
      </c>
    </row>
    <row r="2087" spans="1:20" x14ac:dyDescent="0.25">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t="s">
        <v>70</v>
      </c>
      <c r="T2087" t="s">
        <v>48</v>
      </c>
    </row>
    <row r="2088" spans="1:20" x14ac:dyDescent="0.25">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t="s">
        <v>129</v>
      </c>
      <c r="T2088" t="s">
        <v>77</v>
      </c>
    </row>
    <row r="2089" spans="1:20" x14ac:dyDescent="0.25">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t="s">
        <v>33</v>
      </c>
      <c r="T2089" t="s">
        <v>59</v>
      </c>
    </row>
    <row r="2090" spans="1:20" x14ac:dyDescent="0.25">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t="s">
        <v>70</v>
      </c>
      <c r="T2090" t="s">
        <v>77</v>
      </c>
    </row>
    <row r="2091" spans="1:20" x14ac:dyDescent="0.25">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t="s">
        <v>83</v>
      </c>
      <c r="T2091" t="s">
        <v>161</v>
      </c>
    </row>
    <row r="2092" spans="1:20" x14ac:dyDescent="0.25">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t="s">
        <v>83</v>
      </c>
      <c r="T2092" t="s">
        <v>161</v>
      </c>
    </row>
    <row r="2093" spans="1:20" x14ac:dyDescent="0.25">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t="s">
        <v>83</v>
      </c>
      <c r="T2093" t="s">
        <v>59</v>
      </c>
    </row>
    <row r="2094" spans="1:20" x14ac:dyDescent="0.25">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t="s">
        <v>83</v>
      </c>
      <c r="T2094" t="s">
        <v>195</v>
      </c>
    </row>
    <row r="2095" spans="1:20" x14ac:dyDescent="0.25">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t="s">
        <v>129</v>
      </c>
      <c r="T2095" t="s">
        <v>169</v>
      </c>
    </row>
    <row r="2096" spans="1:20" x14ac:dyDescent="0.25">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t="s">
        <v>70</v>
      </c>
      <c r="T2096" t="s">
        <v>34</v>
      </c>
    </row>
    <row r="2097" spans="1:20" x14ac:dyDescent="0.25">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t="s">
        <v>83</v>
      </c>
      <c r="T2097" t="s">
        <v>253</v>
      </c>
    </row>
    <row r="2098" spans="1:20" x14ac:dyDescent="0.25">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t="s">
        <v>33</v>
      </c>
      <c r="T2098" t="s">
        <v>71</v>
      </c>
    </row>
    <row r="2099" spans="1:20" x14ac:dyDescent="0.25">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t="s">
        <v>33</v>
      </c>
      <c r="T2099" t="s">
        <v>71</v>
      </c>
    </row>
    <row r="2100" spans="1:20" x14ac:dyDescent="0.25">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t="s">
        <v>83</v>
      </c>
      <c r="T2100" t="s">
        <v>59</v>
      </c>
    </row>
    <row r="2101" spans="1:20" x14ac:dyDescent="0.25">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t="s">
        <v>83</v>
      </c>
      <c r="T2101" t="s">
        <v>59</v>
      </c>
    </row>
    <row r="2102" spans="1:20" x14ac:dyDescent="0.25">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t="s">
        <v>129</v>
      </c>
      <c r="T2102" t="s">
        <v>195</v>
      </c>
    </row>
    <row r="2103" spans="1:20" x14ac:dyDescent="0.25">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t="s">
        <v>83</v>
      </c>
      <c r="T2103" t="s">
        <v>253</v>
      </c>
    </row>
    <row r="2104" spans="1:20" x14ac:dyDescent="0.25">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t="s">
        <v>129</v>
      </c>
      <c r="T2104" t="s">
        <v>34</v>
      </c>
    </row>
    <row r="2105" spans="1:20" x14ac:dyDescent="0.25">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t="s">
        <v>70</v>
      </c>
      <c r="T2105" t="s">
        <v>77</v>
      </c>
    </row>
    <row r="2106" spans="1:20" x14ac:dyDescent="0.25">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t="s">
        <v>70</v>
      </c>
      <c r="T2106" t="s">
        <v>77</v>
      </c>
    </row>
    <row r="2107" spans="1:20" x14ac:dyDescent="0.25">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t="s">
        <v>70</v>
      </c>
      <c r="T2107" t="s">
        <v>77</v>
      </c>
    </row>
    <row r="2108" spans="1:20" x14ac:dyDescent="0.25">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t="s">
        <v>70</v>
      </c>
      <c r="T2108" t="s">
        <v>77</v>
      </c>
    </row>
    <row r="2109" spans="1:20" x14ac:dyDescent="0.25">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t="s">
        <v>70</v>
      </c>
      <c r="T2109" t="s">
        <v>48</v>
      </c>
    </row>
    <row r="2110" spans="1:20" x14ac:dyDescent="0.25">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t="s">
        <v>70</v>
      </c>
      <c r="T2110" t="s">
        <v>169</v>
      </c>
    </row>
    <row r="2111" spans="1:20" x14ac:dyDescent="0.25">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t="s">
        <v>83</v>
      </c>
      <c r="T2111" t="s">
        <v>195</v>
      </c>
    </row>
    <row r="2112" spans="1:20" x14ac:dyDescent="0.25">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t="s">
        <v>430</v>
      </c>
      <c r="T2112" t="s">
        <v>77</v>
      </c>
    </row>
    <row r="2113" spans="1:20" x14ac:dyDescent="0.25">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t="s">
        <v>83</v>
      </c>
      <c r="T2113" t="s">
        <v>34</v>
      </c>
    </row>
    <row r="2114" spans="1:20" x14ac:dyDescent="0.25">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t="s">
        <v>33</v>
      </c>
      <c r="T2114" t="s">
        <v>59</v>
      </c>
    </row>
    <row r="2115" spans="1:20" x14ac:dyDescent="0.25">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t="s">
        <v>58</v>
      </c>
      <c r="T2115" t="s">
        <v>96</v>
      </c>
    </row>
    <row r="2116" spans="1:20" x14ac:dyDescent="0.25">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t="s">
        <v>70</v>
      </c>
      <c r="T2116" t="s">
        <v>59</v>
      </c>
    </row>
    <row r="2117" spans="1:20" x14ac:dyDescent="0.25">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t="s">
        <v>70</v>
      </c>
      <c r="T2117" t="s">
        <v>96</v>
      </c>
    </row>
    <row r="2118" spans="1:20" x14ac:dyDescent="0.25">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t="s">
        <v>33</v>
      </c>
      <c r="T2118" t="s">
        <v>195</v>
      </c>
    </row>
    <row r="2119" spans="1:20" x14ac:dyDescent="0.25">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t="s">
        <v>58</v>
      </c>
      <c r="T2119" t="s">
        <v>96</v>
      </c>
    </row>
    <row r="2120" spans="1:20" x14ac:dyDescent="0.25">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t="s">
        <v>33</v>
      </c>
      <c r="T2120" t="s">
        <v>77</v>
      </c>
    </row>
    <row r="2121" spans="1:20" x14ac:dyDescent="0.25">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t="s">
        <v>70</v>
      </c>
      <c r="T2121" t="s">
        <v>169</v>
      </c>
    </row>
    <row r="2122" spans="1:20" x14ac:dyDescent="0.25">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t="s">
        <v>58</v>
      </c>
      <c r="T2122" t="s">
        <v>297</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21515-5369-4FA2-8B50-402A2C3B1F63}">
  <dimension ref="B3:P120"/>
  <sheetViews>
    <sheetView tabSelected="1" zoomScaleNormal="100" workbookViewId="0">
      <selection activeCell="J8" sqref="J8"/>
    </sheetView>
  </sheetViews>
  <sheetFormatPr defaultRowHeight="14.15" x14ac:dyDescent="0.25"/>
  <cols>
    <col min="2" max="2" width="17.25" bestFit="1" customWidth="1"/>
    <col min="3" max="3" width="11.875" bestFit="1" customWidth="1"/>
    <col min="4" max="4" width="15.125" bestFit="1" customWidth="1"/>
    <col min="5" max="5" width="12.25" bestFit="1" customWidth="1"/>
    <col min="9" max="9" width="38.625" bestFit="1" customWidth="1"/>
    <col min="10" max="10" width="12.625" bestFit="1" customWidth="1"/>
    <col min="11" max="11" width="11.875" bestFit="1" customWidth="1"/>
    <col min="12" max="12" width="17.25" bestFit="1" customWidth="1"/>
    <col min="13" max="13" width="25.5" bestFit="1" customWidth="1"/>
    <col min="14" max="14" width="11.5" bestFit="1" customWidth="1"/>
    <col min="15" max="15" width="11" bestFit="1" customWidth="1"/>
  </cols>
  <sheetData>
    <row r="3" spans="2:14" x14ac:dyDescent="0.25">
      <c r="B3" t="s">
        <v>4408</v>
      </c>
      <c r="C3" t="s">
        <v>4409</v>
      </c>
      <c r="D3" t="s">
        <v>4410</v>
      </c>
    </row>
    <row r="4" spans="2:14" x14ac:dyDescent="0.25">
      <c r="B4">
        <v>741999.79529999977</v>
      </c>
      <c r="C4">
        <v>8028</v>
      </c>
      <c r="D4">
        <v>18451.272799999999</v>
      </c>
    </row>
    <row r="6" spans="2:14" x14ac:dyDescent="0.25">
      <c r="I6" s="4" t="s">
        <v>4424</v>
      </c>
      <c r="J6" s="8"/>
      <c r="K6" s="10"/>
      <c r="L6" s="10"/>
      <c r="M6" s="9"/>
    </row>
    <row r="7" spans="2:14" x14ac:dyDescent="0.25">
      <c r="I7" s="5" t="s">
        <v>4420</v>
      </c>
      <c r="K7" t="s">
        <v>4421</v>
      </c>
      <c r="L7" t="s">
        <v>4422</v>
      </c>
      <c r="M7" t="s">
        <v>4423</v>
      </c>
    </row>
    <row r="8" spans="2:14" x14ac:dyDescent="0.25">
      <c r="I8" t="s">
        <v>4417</v>
      </c>
      <c r="J8" s="7">
        <f>GETPIVOTDATA("Sum of Sales",$B$3)</f>
        <v>741999.79529999977</v>
      </c>
      <c r="K8" s="7">
        <f>GETPIVOTDATA("Sum of Sales",$B$11,"Years (Order Date)",2017)</f>
        <v>215387.26920000004</v>
      </c>
      <c r="L8" s="7">
        <f>GETPIVOTDATA("Sum of Sales",$B$11,"Years (Order Date)",2016)</f>
        <v>198901.43600000019</v>
      </c>
      <c r="M8" s="6">
        <f>(K8-L8)/L8</f>
        <v>8.2884435283814811E-2</v>
      </c>
      <c r="N8" t="str">
        <f>IF(M8&gt;0,"▲","▼")&amp;TEXT(ABS(M8),"0%") &amp; "YOY"</f>
        <v>▲8%YOY</v>
      </c>
    </row>
    <row r="9" spans="2:14" x14ac:dyDescent="0.25">
      <c r="I9" t="s">
        <v>4418</v>
      </c>
      <c r="J9" s="7">
        <f>GETPIVOTDATA("Sum of Profit",$B$3)</f>
        <v>18451.272799999999</v>
      </c>
      <c r="K9" s="7">
        <f>GETPIVOTDATA("Sum of Profit",$B$11,"Years (Order Date)",2017)</f>
        <v>3018.3912999999957</v>
      </c>
      <c r="L9" s="7">
        <f>GETPIVOTDATA("Sum of Profit",$B$11,"Years (Order Date)",2016)</f>
        <v>6959.9530999999979</v>
      </c>
      <c r="M9" s="6">
        <f t="shared" ref="M9:M10" si="0">(K9-L9)/L9</f>
        <v>-0.56632016672641128</v>
      </c>
      <c r="N9" t="str">
        <f t="shared" ref="N9:N10" si="1">IF(M9&gt;0,"▲","▼")&amp;TEXT(ABS(M9),"0%") &amp; "YOY"</f>
        <v>▼57%YOY</v>
      </c>
    </row>
    <row r="10" spans="2:14" x14ac:dyDescent="0.25">
      <c r="I10" t="s">
        <v>4419</v>
      </c>
      <c r="J10" s="7">
        <f>GETPIVOTDATA("Sum of Quantity",$B$3)</f>
        <v>8028</v>
      </c>
      <c r="K10" s="7">
        <f>GETPIVOTDATA("Sum of Quantity",$B$11,"Years (Order Date)",2017)</f>
        <v>2437</v>
      </c>
      <c r="L10" s="7">
        <f>GETPIVOTDATA("Sum of Quantity",$B$11,"Years (Order Date)",2016)</f>
        <v>2193</v>
      </c>
      <c r="M10" s="6">
        <f t="shared" si="0"/>
        <v>0.11126310989512084</v>
      </c>
      <c r="N10" t="str">
        <f t="shared" si="1"/>
        <v>▲11%YOY</v>
      </c>
    </row>
    <row r="11" spans="2:14" x14ac:dyDescent="0.25">
      <c r="B11" s="2" t="s">
        <v>4411</v>
      </c>
      <c r="C11" t="s">
        <v>4408</v>
      </c>
      <c r="D11" t="s">
        <v>4409</v>
      </c>
      <c r="E11" t="s">
        <v>4410</v>
      </c>
    </row>
    <row r="12" spans="2:14" x14ac:dyDescent="0.25">
      <c r="B12" s="3" t="s">
        <v>4413</v>
      </c>
      <c r="C12">
        <v>157192.85310000001</v>
      </c>
      <c r="D12">
        <v>1623</v>
      </c>
      <c r="E12">
        <v>5457.7255000000059</v>
      </c>
    </row>
    <row r="13" spans="2:14" x14ac:dyDescent="0.25">
      <c r="B13" s="3" t="s">
        <v>4414</v>
      </c>
      <c r="C13">
        <v>170518.23700000011</v>
      </c>
      <c r="D13">
        <v>1775</v>
      </c>
      <c r="E13">
        <v>3015.2028999999993</v>
      </c>
    </row>
    <row r="14" spans="2:14" x14ac:dyDescent="0.25">
      <c r="B14" s="3" t="s">
        <v>4415</v>
      </c>
      <c r="C14">
        <v>198901.43600000019</v>
      </c>
      <c r="D14">
        <v>2193</v>
      </c>
      <c r="E14">
        <v>6959.9530999999979</v>
      </c>
    </row>
    <row r="15" spans="2:14" x14ac:dyDescent="0.25">
      <c r="B15" s="3" t="s">
        <v>4416</v>
      </c>
      <c r="C15">
        <v>215387.26920000004</v>
      </c>
      <c r="D15">
        <v>2437</v>
      </c>
      <c r="E15">
        <v>3018.3912999999957</v>
      </c>
    </row>
    <row r="16" spans="2:14" x14ac:dyDescent="0.25">
      <c r="B16" s="3" t="s">
        <v>4412</v>
      </c>
      <c r="C16">
        <v>741999.79530000035</v>
      </c>
      <c r="D16">
        <v>8028</v>
      </c>
      <c r="E16">
        <v>18451.272799999999</v>
      </c>
    </row>
    <row r="18" spans="2:15" x14ac:dyDescent="0.25">
      <c r="J18" s="16" t="s">
        <v>4429</v>
      </c>
    </row>
    <row r="19" spans="2:15" x14ac:dyDescent="0.25">
      <c r="J19" t="str">
        <f>"Top Selling Cities: " &amp; INDEX(J22:J26,MATCH(MAX(K22:K26),K22:K26,0)) &amp; " with  " &amp; TEXT(MAX(K22:K26),"$#,##0") &amp; "  in Sales"</f>
        <v>Top Selling Cities: New York City with  $75,691  in Sales</v>
      </c>
    </row>
    <row r="20" spans="2:15" x14ac:dyDescent="0.25">
      <c r="B20" s="16" t="s">
        <v>4425</v>
      </c>
    </row>
    <row r="21" spans="2:15" x14ac:dyDescent="0.25">
      <c r="B21" t="str">
        <f>"Peak Sales Per Month:  "&amp;INDEX(B24:B35,MATCH(MAX(C24:C35),C24:C36,0))&amp;" with  "&amp;TEXT(MAX(C24:C35),"$#,##0")&amp;"  in Sales"</f>
        <v>Peak Sales Per Month:  Dec with  $121,818  in Sales</v>
      </c>
      <c r="J21" s="2" t="s">
        <v>4411</v>
      </c>
      <c r="K21" t="s">
        <v>4408</v>
      </c>
      <c r="N21" s="13">
        <f>MAX(M22:M26)*1.2</f>
        <v>90829.258800000011</v>
      </c>
    </row>
    <row r="22" spans="2:15" x14ac:dyDescent="0.25">
      <c r="J22" s="3" t="s">
        <v>52</v>
      </c>
      <c r="K22" s="7">
        <v>54000.040999999976</v>
      </c>
      <c r="L22" t="str">
        <f>J22:J26</f>
        <v>Los Angeles</v>
      </c>
      <c r="M22" s="7">
        <f>K22:K26</f>
        <v>54000.040999999976</v>
      </c>
      <c r="N22" s="13">
        <f>$N$21-M22</f>
        <v>36829.217800000035</v>
      </c>
      <c r="O22" s="13"/>
    </row>
    <row r="23" spans="2:15" x14ac:dyDescent="0.25">
      <c r="B23" s="2" t="s">
        <v>4411</v>
      </c>
      <c r="C23" t="s">
        <v>4408</v>
      </c>
      <c r="I23" t="s">
        <v>4433</v>
      </c>
      <c r="J23" s="3" t="s">
        <v>173</v>
      </c>
      <c r="K23" s="7">
        <v>75691.049000000014</v>
      </c>
      <c r="L23" t="str">
        <f t="shared" ref="L23:L26" si="2">J23:J27</f>
        <v>New York City</v>
      </c>
      <c r="M23" s="7">
        <f t="shared" ref="M23:M26" si="3">K23:K27</f>
        <v>75691.049000000014</v>
      </c>
      <c r="N23" s="13">
        <f>$N$21-M23</f>
        <v>15138.209799999997</v>
      </c>
      <c r="O23" s="13"/>
    </row>
    <row r="24" spans="2:15" x14ac:dyDescent="0.25">
      <c r="B24" s="3" t="s">
        <v>169</v>
      </c>
      <c r="C24" s="7">
        <v>31569.241599999998</v>
      </c>
      <c r="J24" s="3" t="s">
        <v>65</v>
      </c>
      <c r="K24" s="7">
        <v>36495.541000000012</v>
      </c>
      <c r="L24" t="str">
        <f t="shared" si="2"/>
        <v>Philadelphia</v>
      </c>
      <c r="M24" s="7">
        <f t="shared" si="3"/>
        <v>36495.541000000012</v>
      </c>
      <c r="N24" s="13">
        <f t="shared" ref="N24:N25" si="4">$N$21-M24</f>
        <v>54333.717799999999</v>
      </c>
      <c r="O24" s="13"/>
    </row>
    <row r="25" spans="2:15" x14ac:dyDescent="0.25">
      <c r="B25" s="3" t="s">
        <v>297</v>
      </c>
      <c r="C25" s="7">
        <v>15765.920399999994</v>
      </c>
      <c r="J25" s="3" t="s">
        <v>328</v>
      </c>
      <c r="K25" s="7">
        <v>36357.307999999997</v>
      </c>
      <c r="L25" t="str">
        <f t="shared" si="2"/>
        <v>San Francisco</v>
      </c>
      <c r="M25" s="7">
        <f t="shared" si="3"/>
        <v>36357.307999999997</v>
      </c>
      <c r="N25" s="13">
        <f t="shared" si="4"/>
        <v>54471.950800000013</v>
      </c>
      <c r="O25" s="13"/>
    </row>
    <row r="26" spans="2:15" x14ac:dyDescent="0.25">
      <c r="B26" s="3" t="s">
        <v>195</v>
      </c>
      <c r="C26" s="7">
        <v>50768.275799999996</v>
      </c>
      <c r="I26" s="12"/>
      <c r="J26" s="3" t="s">
        <v>191</v>
      </c>
      <c r="K26" s="7">
        <v>40995.877999999997</v>
      </c>
      <c r="L26" t="str">
        <f t="shared" si="2"/>
        <v>Seattle</v>
      </c>
      <c r="M26" s="7">
        <f t="shared" si="3"/>
        <v>40995.877999999997</v>
      </c>
      <c r="N26" s="13">
        <f>$N$21-M26</f>
        <v>49833.380800000014</v>
      </c>
      <c r="O26" s="13"/>
    </row>
    <row r="27" spans="2:15" x14ac:dyDescent="0.25">
      <c r="B27" s="3" t="s">
        <v>113</v>
      </c>
      <c r="C27" s="7">
        <v>40698.583600000013</v>
      </c>
      <c r="J27" s="3" t="s">
        <v>4412</v>
      </c>
      <c r="K27" s="7">
        <v>243539.81699999998</v>
      </c>
      <c r="M27" s="7"/>
      <c r="N27" s="13"/>
    </row>
    <row r="28" spans="2:15" x14ac:dyDescent="0.25">
      <c r="B28" s="3" t="s">
        <v>161</v>
      </c>
      <c r="C28" s="7">
        <v>48365.130699999951</v>
      </c>
    </row>
    <row r="29" spans="2:15" x14ac:dyDescent="0.25">
      <c r="B29" s="3" t="s">
        <v>59</v>
      </c>
      <c r="C29" s="7">
        <v>52999.463299999974</v>
      </c>
    </row>
    <row r="30" spans="2:15" x14ac:dyDescent="0.25">
      <c r="B30" s="3" t="s">
        <v>71</v>
      </c>
      <c r="C30" s="7">
        <v>49377.011999999966</v>
      </c>
    </row>
    <row r="31" spans="2:15" x14ac:dyDescent="0.25">
      <c r="B31" s="3" t="s">
        <v>253</v>
      </c>
      <c r="C31" s="7">
        <v>44884.044999999991</v>
      </c>
    </row>
    <row r="32" spans="2:15" x14ac:dyDescent="0.25">
      <c r="B32" s="3" t="s">
        <v>77</v>
      </c>
      <c r="C32" s="7">
        <v>106380.59069999997</v>
      </c>
      <c r="J32" s="16" t="s">
        <v>4428</v>
      </c>
    </row>
    <row r="33" spans="2:11" x14ac:dyDescent="0.25">
      <c r="B33" s="3" t="s">
        <v>48</v>
      </c>
      <c r="C33" s="7">
        <v>58087.515699999982</v>
      </c>
      <c r="J33" t="str">
        <f>"Most Orders ("&amp;TEXT(MAX(K36:K43),"0%")&amp;" ) were delivered in "&amp;INDEX(J36:J43,MATCH(MAX(K36:K43),K36:K43,0))&amp;"."</f>
        <v>Most Orders (28% ) were delivered in 4-days.</v>
      </c>
    </row>
    <row r="34" spans="2:11" x14ac:dyDescent="0.25">
      <c r="B34" s="3" t="s">
        <v>34</v>
      </c>
      <c r="C34" s="7">
        <v>121286.04899999996</v>
      </c>
    </row>
    <row r="35" spans="2:11" x14ac:dyDescent="0.25">
      <c r="B35" s="3" t="s">
        <v>96</v>
      </c>
      <c r="C35" s="7">
        <v>121817.96749999993</v>
      </c>
      <c r="J35" s="2" t="s">
        <v>4411</v>
      </c>
      <c r="K35" t="s">
        <v>4427</v>
      </c>
    </row>
    <row r="36" spans="2:11" x14ac:dyDescent="0.25">
      <c r="B36" s="3" t="s">
        <v>4412</v>
      </c>
      <c r="C36" s="7">
        <v>741999.79529999977</v>
      </c>
      <c r="J36" s="3" t="s">
        <v>430</v>
      </c>
      <c r="K36" s="15">
        <v>5.469118340405469E-2</v>
      </c>
    </row>
    <row r="37" spans="2:11" x14ac:dyDescent="0.25">
      <c r="J37" s="3" t="s">
        <v>123</v>
      </c>
      <c r="K37" s="15">
        <v>3.6303630363036306E-2</v>
      </c>
    </row>
    <row r="38" spans="2:11" x14ac:dyDescent="0.25">
      <c r="J38" s="3" t="s">
        <v>70</v>
      </c>
      <c r="K38" s="15">
        <v>0.14615747289014616</v>
      </c>
    </row>
    <row r="39" spans="2:11" x14ac:dyDescent="0.25">
      <c r="J39" s="3" t="s">
        <v>33</v>
      </c>
      <c r="K39" s="15">
        <v>8.7694483734087697E-2</v>
      </c>
    </row>
    <row r="40" spans="2:11" x14ac:dyDescent="0.25">
      <c r="J40" s="3" t="s">
        <v>83</v>
      </c>
      <c r="K40" s="15">
        <v>0.28335690711928335</v>
      </c>
    </row>
    <row r="41" spans="2:11" x14ac:dyDescent="0.25">
      <c r="B41" t="s">
        <v>4426</v>
      </c>
      <c r="J41" s="3" t="s">
        <v>58</v>
      </c>
      <c r="K41" s="15">
        <v>0.2197076850542197</v>
      </c>
    </row>
    <row r="42" spans="2:11" x14ac:dyDescent="0.25">
      <c r="J42" s="3" t="s">
        <v>129</v>
      </c>
      <c r="K42" s="15">
        <v>0.11126826968411127</v>
      </c>
    </row>
    <row r="43" spans="2:11" x14ac:dyDescent="0.25">
      <c r="B43" s="2" t="s">
        <v>4411</v>
      </c>
      <c r="C43" t="s">
        <v>4408</v>
      </c>
      <c r="E43" t="s">
        <v>4432</v>
      </c>
      <c r="F43" t="s">
        <v>4417</v>
      </c>
      <c r="J43" s="3" t="s">
        <v>47</v>
      </c>
      <c r="K43" s="15">
        <v>6.0820367751060818E-2</v>
      </c>
    </row>
    <row r="44" spans="2:11" x14ac:dyDescent="0.25">
      <c r="B44" s="3" t="s">
        <v>1276</v>
      </c>
      <c r="C44" s="7">
        <v>6332.48</v>
      </c>
      <c r="E44" t="str" cm="1">
        <f t="array" ref="E44:F91">B44:C91</f>
        <v>Alabama</v>
      </c>
      <c r="F44" s="7">
        <v>6332.48</v>
      </c>
      <c r="J44" s="3" t="s">
        <v>4412</v>
      </c>
      <c r="K44" s="14">
        <v>1</v>
      </c>
    </row>
    <row r="45" spans="2:11" x14ac:dyDescent="0.25">
      <c r="B45" s="3" t="s">
        <v>520</v>
      </c>
      <c r="C45">
        <v>13525.291000000001</v>
      </c>
      <c r="E45" t="str">
        <v>Arizona</v>
      </c>
      <c r="F45" s="7">
        <v>13525.291000000001</v>
      </c>
    </row>
    <row r="46" spans="2:11" x14ac:dyDescent="0.25">
      <c r="B46" s="3" t="s">
        <v>1058</v>
      </c>
      <c r="C46">
        <v>3187.55</v>
      </c>
      <c r="E46" t="str">
        <v>Arkansas</v>
      </c>
      <c r="F46" s="7">
        <v>3187.55</v>
      </c>
    </row>
    <row r="47" spans="2:11" x14ac:dyDescent="0.25">
      <c r="B47" s="3" t="s">
        <v>53</v>
      </c>
      <c r="C47">
        <v>156064.60149999999</v>
      </c>
      <c r="E47" t="str">
        <v>California</v>
      </c>
      <c r="F47" s="7">
        <v>156064.60149999999</v>
      </c>
    </row>
    <row r="48" spans="2:11" x14ac:dyDescent="0.25">
      <c r="B48" s="3" t="s">
        <v>180</v>
      </c>
      <c r="C48">
        <v>13243.037</v>
      </c>
      <c r="E48" t="str">
        <v>Colorado</v>
      </c>
      <c r="F48" s="7">
        <v>13243.037</v>
      </c>
      <c r="J48" s="16" t="s">
        <v>4430</v>
      </c>
    </row>
    <row r="49" spans="2:14" x14ac:dyDescent="0.25">
      <c r="B49" s="3" t="s">
        <v>429</v>
      </c>
      <c r="C49">
        <v>5174.9870000000001</v>
      </c>
      <c r="E49" t="str">
        <v>Connecticut</v>
      </c>
      <c r="F49" s="7">
        <v>5174.9870000000001</v>
      </c>
      <c r="J49" t="str">
        <f>"Most Orders Used " &amp; INDEX(J52:J55,MATCH(MAX(K52:K55),K52:K55,0)) &amp; " ( " &amp; TEXT(MAX(K52:K55),"0%") &amp; " )."</f>
        <v>Most Orders Used Standard Class ( 59% ).</v>
      </c>
    </row>
    <row r="50" spans="2:14" x14ac:dyDescent="0.25">
      <c r="B50" s="3" t="s">
        <v>200</v>
      </c>
      <c r="C50">
        <v>4759.3189999999995</v>
      </c>
      <c r="E50" t="str">
        <v>Delaware</v>
      </c>
      <c r="F50" s="7">
        <v>4759.3189999999995</v>
      </c>
    </row>
    <row r="51" spans="2:14" x14ac:dyDescent="0.25">
      <c r="B51" s="3" t="s">
        <v>980</v>
      </c>
      <c r="C51">
        <v>1346.58</v>
      </c>
      <c r="E51" t="str">
        <v>District of Columbia</v>
      </c>
      <c r="F51" s="7">
        <v>1346.58</v>
      </c>
      <c r="J51" s="2" t="s">
        <v>4411</v>
      </c>
      <c r="K51" t="s">
        <v>4427</v>
      </c>
    </row>
    <row r="52" spans="2:14" x14ac:dyDescent="0.25">
      <c r="B52" s="3" t="s">
        <v>43</v>
      </c>
      <c r="C52">
        <v>22987.03799999999</v>
      </c>
      <c r="E52" t="str">
        <v>Florida</v>
      </c>
      <c r="F52" s="7">
        <v>22987.03799999999</v>
      </c>
      <c r="J52" s="3" t="s">
        <v>87</v>
      </c>
      <c r="K52" s="14">
        <v>0.15417256011315417</v>
      </c>
    </row>
    <row r="53" spans="2:14" x14ac:dyDescent="0.25">
      <c r="B53" s="3" t="s">
        <v>667</v>
      </c>
      <c r="C53">
        <v>8321.48</v>
      </c>
      <c r="E53" t="str">
        <v>Georgia</v>
      </c>
      <c r="F53" s="7">
        <v>8321.48</v>
      </c>
      <c r="J53" s="3" t="s">
        <v>425</v>
      </c>
      <c r="K53" s="14">
        <v>5.6105610561056105E-2</v>
      </c>
    </row>
    <row r="54" spans="2:14" x14ac:dyDescent="0.25">
      <c r="B54" s="3" t="s">
        <v>2280</v>
      </c>
      <c r="C54">
        <v>2595.482</v>
      </c>
      <c r="E54" t="str">
        <v>Idaho</v>
      </c>
      <c r="F54" s="7">
        <v>2595.482</v>
      </c>
      <c r="J54" s="3" t="s">
        <v>21</v>
      </c>
      <c r="K54" s="14">
        <v>0.20132013201320131</v>
      </c>
    </row>
    <row r="55" spans="2:14" x14ac:dyDescent="0.25">
      <c r="B55" s="3" t="s">
        <v>134</v>
      </c>
      <c r="C55">
        <v>28274.522000000008</v>
      </c>
      <c r="E55" t="str">
        <v>Illinois</v>
      </c>
      <c r="F55" s="7">
        <v>28274.522000000008</v>
      </c>
      <c r="J55" s="3" t="s">
        <v>39</v>
      </c>
      <c r="K55" s="14">
        <v>0.5884016973125884</v>
      </c>
    </row>
    <row r="56" spans="2:14" x14ac:dyDescent="0.25">
      <c r="B56" s="3" t="s">
        <v>110</v>
      </c>
      <c r="C56">
        <v>11496.71</v>
      </c>
      <c r="E56" t="str">
        <v>Indiana</v>
      </c>
      <c r="F56" s="7">
        <v>11496.71</v>
      </c>
      <c r="J56" s="3" t="s">
        <v>4412</v>
      </c>
      <c r="K56" s="14">
        <v>1</v>
      </c>
    </row>
    <row r="57" spans="2:14" x14ac:dyDescent="0.25">
      <c r="B57" s="3" t="s">
        <v>801</v>
      </c>
      <c r="C57">
        <v>2642.3099999999995</v>
      </c>
      <c r="E57" t="str">
        <v>Iowa</v>
      </c>
      <c r="F57" s="7">
        <v>2642.3099999999995</v>
      </c>
    </row>
    <row r="58" spans="2:14" x14ac:dyDescent="0.25">
      <c r="B58" s="3" t="s">
        <v>3135</v>
      </c>
      <c r="C58">
        <v>111.12</v>
      </c>
      <c r="E58" t="str">
        <v>Kansas</v>
      </c>
      <c r="F58" s="7">
        <v>111.12</v>
      </c>
    </row>
    <row r="59" spans="2:14" x14ac:dyDescent="0.25">
      <c r="B59" s="3" t="s">
        <v>27</v>
      </c>
      <c r="C59">
        <v>12126.84</v>
      </c>
      <c r="E59" t="str">
        <v>Kentucky</v>
      </c>
      <c r="F59" s="7">
        <v>12126.84</v>
      </c>
    </row>
    <row r="60" spans="2:14" x14ac:dyDescent="0.25">
      <c r="B60" s="3" t="s">
        <v>1406</v>
      </c>
      <c r="C60">
        <v>2963.03</v>
      </c>
      <c r="E60" t="str">
        <v>Louisiana</v>
      </c>
      <c r="F60" s="7">
        <v>2963.03</v>
      </c>
      <c r="J60" s="16" t="s">
        <v>4431</v>
      </c>
    </row>
    <row r="61" spans="2:14" x14ac:dyDescent="0.25">
      <c r="B61" s="3" t="s">
        <v>1788</v>
      </c>
      <c r="C61">
        <v>109.48</v>
      </c>
      <c r="E61" t="str">
        <v>Maine</v>
      </c>
      <c r="F61" s="7">
        <v>109.48</v>
      </c>
      <c r="J61" t="str">
        <f>"Highest Sales By Category:  " &amp; INDEX(J64:J67,MATCH(MAX(K64:K67),K64:K67,0)) &amp; " with  " &amp; TEXT(MAX(K64:K67),"$#,##0") &amp; "  in Sales"</f>
        <v>Highest Sales By Category:  Chairs with  $328,449  in Sales</v>
      </c>
    </row>
    <row r="62" spans="2:14" x14ac:dyDescent="0.25">
      <c r="B62" s="3" t="s">
        <v>1089</v>
      </c>
      <c r="C62">
        <v>9149.2529999999988</v>
      </c>
      <c r="E62" t="str">
        <v>Maryland</v>
      </c>
      <c r="F62" s="7">
        <v>9149.2529999999988</v>
      </c>
    </row>
    <row r="63" spans="2:14" x14ac:dyDescent="0.25">
      <c r="B63" s="3" t="s">
        <v>434</v>
      </c>
      <c r="C63">
        <v>10919.063999999997</v>
      </c>
      <c r="E63" t="str">
        <v>Massachusetts</v>
      </c>
      <c r="F63" s="7">
        <v>10919.063999999997</v>
      </c>
      <c r="J63" s="2" t="s">
        <v>4411</v>
      </c>
      <c r="K63" t="s">
        <v>4408</v>
      </c>
      <c r="N63">
        <f>MAX(M64:M67)*1.2</f>
        <v>394138.92360000091</v>
      </c>
    </row>
    <row r="64" spans="2:14" x14ac:dyDescent="0.25">
      <c r="B64" s="3" t="s">
        <v>289</v>
      </c>
      <c r="C64">
        <v>22321.099999999995</v>
      </c>
      <c r="E64" t="str">
        <v>Michigan</v>
      </c>
      <c r="F64" s="7">
        <v>22321.099999999995</v>
      </c>
      <c r="J64" s="3" t="s">
        <v>31</v>
      </c>
      <c r="K64">
        <v>114879.99629999997</v>
      </c>
      <c r="L64" s="3" t="s">
        <v>31</v>
      </c>
      <c r="M64" s="7">
        <v>114879.99629999997</v>
      </c>
      <c r="N64" s="7">
        <f>$N$63-M64</f>
        <v>279258.92730000091</v>
      </c>
    </row>
    <row r="65" spans="2:16" x14ac:dyDescent="0.25">
      <c r="B65" s="3" t="s">
        <v>166</v>
      </c>
      <c r="C65">
        <v>7611.35</v>
      </c>
      <c r="E65" t="str">
        <v>Minnesota</v>
      </c>
      <c r="F65" s="7">
        <v>7611.35</v>
      </c>
      <c r="J65" s="3" t="s">
        <v>36</v>
      </c>
      <c r="K65">
        <v>328449.10300000076</v>
      </c>
      <c r="L65" s="3" t="s">
        <v>36</v>
      </c>
      <c r="M65" s="7">
        <v>328449.10300000076</v>
      </c>
      <c r="N65" s="7">
        <f>$N$63-M65</f>
        <v>65689.820600000152</v>
      </c>
    </row>
    <row r="66" spans="2:16" x14ac:dyDescent="0.25">
      <c r="B66" s="3" t="s">
        <v>478</v>
      </c>
      <c r="C66">
        <v>4317.8499999999995</v>
      </c>
      <c r="E66" t="str">
        <v>Mississippi</v>
      </c>
      <c r="F66" s="7">
        <v>4317.8499999999995</v>
      </c>
      <c r="J66" s="3" t="s">
        <v>56</v>
      </c>
      <c r="K66">
        <v>91705.164000000048</v>
      </c>
      <c r="L66" s="3" t="s">
        <v>56</v>
      </c>
      <c r="M66" s="7">
        <v>91705.164000000048</v>
      </c>
      <c r="N66" s="7">
        <f>$N$63-M66</f>
        <v>302433.75960000086</v>
      </c>
    </row>
    <row r="67" spans="2:16" x14ac:dyDescent="0.25">
      <c r="B67" s="3" t="s">
        <v>565</v>
      </c>
      <c r="C67">
        <v>2936.45</v>
      </c>
      <c r="E67" t="str">
        <v>Missouri</v>
      </c>
      <c r="F67" s="7">
        <v>2936.45</v>
      </c>
      <c r="J67" s="3" t="s">
        <v>45</v>
      </c>
      <c r="K67">
        <v>206965.53200000009</v>
      </c>
      <c r="L67" s="3" t="s">
        <v>45</v>
      </c>
      <c r="M67" s="7">
        <v>206965.53200000009</v>
      </c>
      <c r="N67" s="7">
        <f>$N$63-M67</f>
        <v>187173.39160000082</v>
      </c>
      <c r="P67" s="13"/>
    </row>
    <row r="68" spans="2:16" x14ac:dyDescent="0.25">
      <c r="B68" s="3" t="s">
        <v>3701</v>
      </c>
      <c r="C68">
        <v>63.98</v>
      </c>
      <c r="E68" t="str">
        <v>Montana</v>
      </c>
      <c r="F68" s="7">
        <v>63.98</v>
      </c>
      <c r="J68" s="3" t="s">
        <v>4412</v>
      </c>
      <c r="K68">
        <v>741999.79530000081</v>
      </c>
    </row>
    <row r="69" spans="2:16" x14ac:dyDescent="0.25">
      <c r="B69" s="3" t="s">
        <v>841</v>
      </c>
      <c r="C69">
        <v>1944.7</v>
      </c>
      <c r="E69" t="str">
        <v>Nebraska</v>
      </c>
      <c r="F69" s="7">
        <v>1944.7</v>
      </c>
    </row>
    <row r="70" spans="2:16" x14ac:dyDescent="0.25">
      <c r="B70" s="3" t="s">
        <v>1340</v>
      </c>
      <c r="C70">
        <v>4635.1720000000005</v>
      </c>
      <c r="E70" t="str">
        <v>Nevada</v>
      </c>
      <c r="F70" s="7">
        <v>4635.1720000000005</v>
      </c>
    </row>
    <row r="71" spans="2:16" x14ac:dyDescent="0.25">
      <c r="B71" s="3" t="s">
        <v>884</v>
      </c>
      <c r="C71">
        <v>1886.4739999999999</v>
      </c>
      <c r="E71" t="str">
        <v>New Hampshire</v>
      </c>
      <c r="F71" s="7">
        <v>1886.4739999999999</v>
      </c>
    </row>
    <row r="72" spans="2:16" x14ac:dyDescent="0.25">
      <c r="B72" s="3" t="s">
        <v>362</v>
      </c>
      <c r="C72">
        <v>6307.0419999999995</v>
      </c>
      <c r="E72" t="str">
        <v>New Jersey</v>
      </c>
      <c r="F72" s="7">
        <v>6307.0419999999995</v>
      </c>
    </row>
    <row r="73" spans="2:16" x14ac:dyDescent="0.25">
      <c r="B73" s="3" t="s">
        <v>1896</v>
      </c>
      <c r="C73">
        <v>1701.412</v>
      </c>
      <c r="E73" t="str">
        <v>New Mexico</v>
      </c>
      <c r="F73" s="7">
        <v>1701.412</v>
      </c>
    </row>
    <row r="74" spans="2:16" x14ac:dyDescent="0.25">
      <c r="B74" s="3" t="s">
        <v>120</v>
      </c>
      <c r="C74">
        <v>93372.728999999978</v>
      </c>
      <c r="E74" t="str">
        <v>New York</v>
      </c>
      <c r="F74" s="7">
        <v>93372.728999999978</v>
      </c>
    </row>
    <row r="75" spans="2:16" x14ac:dyDescent="0.25">
      <c r="B75" s="3" t="s">
        <v>1036</v>
      </c>
      <c r="C75">
        <v>15155.483999999999</v>
      </c>
      <c r="E75" t="str">
        <v>North Carolina</v>
      </c>
      <c r="F75" s="7">
        <v>15155.483999999999</v>
      </c>
      <c r="I75" s="17"/>
    </row>
    <row r="76" spans="2:16" x14ac:dyDescent="0.25">
      <c r="B76" s="3" t="s">
        <v>231</v>
      </c>
      <c r="C76">
        <v>24199.144999999993</v>
      </c>
      <c r="E76" t="str">
        <v>Ohio</v>
      </c>
      <c r="F76" s="7">
        <v>24199.144999999993</v>
      </c>
    </row>
    <row r="77" spans="2:16" x14ac:dyDescent="0.25">
      <c r="B77" s="3" t="s">
        <v>1522</v>
      </c>
      <c r="C77">
        <v>8284.1</v>
      </c>
      <c r="E77" t="str">
        <v>Oklahoma</v>
      </c>
      <c r="F77" s="7">
        <v>8284.1</v>
      </c>
    </row>
    <row r="78" spans="2:16" x14ac:dyDescent="0.25">
      <c r="B78" s="3" t="s">
        <v>1517</v>
      </c>
      <c r="C78">
        <v>6338.1299999999992</v>
      </c>
      <c r="E78" t="str">
        <v>Oregon</v>
      </c>
      <c r="F78" s="7">
        <v>6338.1299999999992</v>
      </c>
    </row>
    <row r="79" spans="2:16" x14ac:dyDescent="0.25">
      <c r="B79" s="3" t="s">
        <v>66</v>
      </c>
      <c r="C79">
        <v>39354.931000000004</v>
      </c>
      <c r="E79" t="str">
        <v>Pennsylvania</v>
      </c>
      <c r="F79" s="7">
        <v>39354.931000000004</v>
      </c>
    </row>
    <row r="80" spans="2:16" x14ac:dyDescent="0.25">
      <c r="B80" s="3" t="s">
        <v>1645</v>
      </c>
      <c r="C80">
        <v>5918.7560000000003</v>
      </c>
      <c r="E80" t="str">
        <v>Rhode Island</v>
      </c>
      <c r="F80" s="7">
        <v>5918.7560000000003</v>
      </c>
    </row>
    <row r="81" spans="2:6" x14ac:dyDescent="0.25">
      <c r="B81" s="3" t="s">
        <v>158</v>
      </c>
      <c r="C81">
        <v>3078.25</v>
      </c>
      <c r="E81" t="str">
        <v>South Carolina</v>
      </c>
      <c r="F81" s="7">
        <v>3078.25</v>
      </c>
    </row>
    <row r="82" spans="2:6" x14ac:dyDescent="0.25">
      <c r="B82" s="3" t="s">
        <v>1826</v>
      </c>
      <c r="C82">
        <v>324.89999999999998</v>
      </c>
      <c r="E82" t="str">
        <v>South Dakota</v>
      </c>
      <c r="F82" s="7">
        <v>324.89999999999998</v>
      </c>
    </row>
    <row r="83" spans="2:6" x14ac:dyDescent="0.25">
      <c r="B83" s="3" t="s">
        <v>141</v>
      </c>
      <c r="C83">
        <v>13506.732</v>
      </c>
      <c r="E83" t="str">
        <v>Tennessee</v>
      </c>
      <c r="F83" s="7">
        <v>13506.732</v>
      </c>
    </row>
    <row r="84" spans="2:6" x14ac:dyDescent="0.25">
      <c r="B84" s="3" t="s">
        <v>92</v>
      </c>
      <c r="C84">
        <v>60593.291799999992</v>
      </c>
      <c r="E84" t="str">
        <v>Texas</v>
      </c>
      <c r="F84" s="7">
        <v>60593.291799999992</v>
      </c>
    </row>
    <row r="85" spans="2:6" x14ac:dyDescent="0.25">
      <c r="B85" s="3" t="s">
        <v>76</v>
      </c>
      <c r="C85">
        <v>4822.3499999999995</v>
      </c>
      <c r="E85" t="str">
        <v>Utah</v>
      </c>
      <c r="F85" s="7">
        <v>4822.3499999999995</v>
      </c>
    </row>
    <row r="86" spans="2:6" x14ac:dyDescent="0.25">
      <c r="B86" s="3" t="s">
        <v>3106</v>
      </c>
      <c r="C86">
        <v>5120.0999999999995</v>
      </c>
      <c r="E86" t="str">
        <v>Vermont</v>
      </c>
      <c r="F86" s="7">
        <v>5120.0999999999995</v>
      </c>
    </row>
    <row r="87" spans="2:6" x14ac:dyDescent="0.25">
      <c r="B87" s="3" t="s">
        <v>716</v>
      </c>
      <c r="C87">
        <v>25321.949999999993</v>
      </c>
      <c r="E87" t="str">
        <v>Virginia</v>
      </c>
      <c r="F87" s="7">
        <v>25321.949999999993</v>
      </c>
    </row>
    <row r="88" spans="2:6" x14ac:dyDescent="0.25">
      <c r="B88" s="3" t="s">
        <v>192</v>
      </c>
      <c r="C88">
        <v>48020.151999999973</v>
      </c>
      <c r="E88" t="str">
        <v>Washington</v>
      </c>
      <c r="F88" s="7">
        <v>48020.151999999973</v>
      </c>
    </row>
    <row r="89" spans="2:6" x14ac:dyDescent="0.25">
      <c r="B89" s="3" t="s">
        <v>4286</v>
      </c>
      <c r="C89">
        <v>673.34400000000005</v>
      </c>
      <c r="E89" t="str">
        <v>West Virginia</v>
      </c>
      <c r="F89" s="7">
        <v>673.34400000000005</v>
      </c>
    </row>
    <row r="90" spans="2:6" x14ac:dyDescent="0.25">
      <c r="B90" s="3" t="s">
        <v>238</v>
      </c>
      <c r="C90">
        <v>17256.609999999997</v>
      </c>
      <c r="E90" t="str">
        <v>Wisconsin</v>
      </c>
      <c r="F90" s="7">
        <v>17256.609999999997</v>
      </c>
    </row>
    <row r="91" spans="2:6" x14ac:dyDescent="0.25">
      <c r="B91" s="3" t="s">
        <v>3311</v>
      </c>
      <c r="C91">
        <v>1603.136</v>
      </c>
      <c r="E91" t="str">
        <v>Wyoming</v>
      </c>
      <c r="F91" s="7">
        <v>1603.136</v>
      </c>
    </row>
    <row r="92" spans="2:6" x14ac:dyDescent="0.25">
      <c r="B92" s="3" t="s">
        <v>4412</v>
      </c>
      <c r="C92">
        <v>741999.79530000011</v>
      </c>
    </row>
    <row r="120" spans="7:7" x14ac:dyDescent="0.25">
      <c r="G12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69E5-E9B1-4DDC-9AE1-8C30612319D4}">
  <dimension ref="A1"/>
  <sheetViews>
    <sheetView showGridLines="0" zoomScale="70" zoomScaleNormal="70" workbookViewId="0">
      <selection activeCell="I46" sqref="I46"/>
    </sheetView>
  </sheetViews>
  <sheetFormatPr defaultRowHeight="14.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3ACF93-2C63-4260-9039-F914E388BD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Table</vt:lpstr>
      <vt:lpstr>Calculations </vt:lpstr>
      <vt:lpstr>DASHBOARD</vt:lpstr>
      <vt:lpstr>CatSales</vt:lpstr>
      <vt:lpstr>Cities</vt:lpstr>
      <vt:lpstr>Order.D</vt:lpstr>
      <vt:lpstr>Profit</vt:lpstr>
      <vt:lpstr>ProfitYOY</vt:lpstr>
      <vt:lpstr>Quantity</vt:lpstr>
      <vt:lpstr>QuantityYOY</vt:lpstr>
      <vt:lpstr>Sales</vt:lpstr>
      <vt:lpstr>SalesT</vt:lpstr>
      <vt:lpstr>SalesYOY</vt:lpstr>
      <vt:lpstr>Ship.D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Devinz Obioha</dc:creator>
  <cp:lastModifiedBy>Devinz Obioha</cp:lastModifiedBy>
  <dcterms:created xsi:type="dcterms:W3CDTF">2025-07-05T14:15:59Z</dcterms:created>
  <dcterms:modified xsi:type="dcterms:W3CDTF">2025-08-30T09:42:49Z</dcterms:modified>
</cp:coreProperties>
</file>